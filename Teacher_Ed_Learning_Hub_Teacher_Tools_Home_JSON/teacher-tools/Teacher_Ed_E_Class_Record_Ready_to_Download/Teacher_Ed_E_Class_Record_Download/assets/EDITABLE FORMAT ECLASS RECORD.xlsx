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Y 2026-27\EClass Record\Final EClass Record\"/>
    </mc:Choice>
  </mc:AlternateContent>
  <xr:revisionPtr revIDLastSave="0" documentId="13_ncr:1_{0191AC5B-86C0-4D4C-A253-1853B91D91E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NPUT" sheetId="1" r:id="rId1"/>
    <sheet name="TERM1" sheetId="2" r:id="rId2"/>
    <sheet name="TERM2" sheetId="3" r:id="rId3"/>
    <sheet name="TERM3" sheetId="4" r:id="rId4"/>
    <sheet name="SUMMARY" sheetId="5" r:id="rId5"/>
    <sheet name="SETTINGS" sheetId="6" r:id="rId6"/>
    <sheet name="GUIDE" sheetId="7" r:id="rId7"/>
  </sheets>
  <definedNames>
    <definedName name="_xlnm._FilterDatabase" localSheetId="0" hidden="1">INPUT!$A$8:$D$38</definedName>
    <definedName name="_xlnm._FilterDatabase" localSheetId="4" hidden="1">SUMMARY!$A$6:$I$36</definedName>
    <definedName name="_xlnm._FilterDatabase" localSheetId="1" hidden="1">TERM1!$A$9:$AG$39</definedName>
    <definedName name="_xlnm._FilterDatabase" localSheetId="2" hidden="1">TERM2!$A$9:$AG$39</definedName>
    <definedName name="_xlnm._FilterDatabase" localSheetId="3" hidden="1">TERM3!$A$9:$AG$39</definedName>
    <definedName name="_xlnm.Print_Titles" localSheetId="1">TERM1!$1:$9</definedName>
    <definedName name="_xlnm.Print_Titles" localSheetId="2">TERM2!$1:$9</definedName>
    <definedName name="_xlnm.Print_Titles" localSheetId="3">TERM3!$1:$9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5" l="1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E4" i="5"/>
  <c r="B4" i="5"/>
  <c r="H3" i="5"/>
  <c r="E3" i="5"/>
  <c r="B3" i="5"/>
  <c r="AA39" i="4"/>
  <c r="U39" i="4"/>
  <c r="M39" i="4"/>
  <c r="B39" i="4"/>
  <c r="AA38" i="4"/>
  <c r="U38" i="4"/>
  <c r="M38" i="4"/>
  <c r="B38" i="4"/>
  <c r="AA37" i="4"/>
  <c r="U37" i="4"/>
  <c r="M37" i="4"/>
  <c r="B37" i="4"/>
  <c r="AA36" i="4"/>
  <c r="U36" i="4"/>
  <c r="M36" i="4"/>
  <c r="B36" i="4"/>
  <c r="AA35" i="4"/>
  <c r="U35" i="4"/>
  <c r="M35" i="4"/>
  <c r="B35" i="4"/>
  <c r="AA34" i="4"/>
  <c r="U34" i="4"/>
  <c r="M34" i="4"/>
  <c r="B34" i="4"/>
  <c r="AA33" i="4"/>
  <c r="U33" i="4"/>
  <c r="M33" i="4"/>
  <c r="B33" i="4"/>
  <c r="AA32" i="4"/>
  <c r="U32" i="4"/>
  <c r="M32" i="4"/>
  <c r="B32" i="4"/>
  <c r="AA31" i="4"/>
  <c r="U31" i="4"/>
  <c r="M31" i="4"/>
  <c r="B31" i="4"/>
  <c r="AA30" i="4"/>
  <c r="U30" i="4"/>
  <c r="M30" i="4"/>
  <c r="B30" i="4"/>
  <c r="AA29" i="4"/>
  <c r="U29" i="4"/>
  <c r="M29" i="4"/>
  <c r="B29" i="4"/>
  <c r="AA28" i="4"/>
  <c r="U28" i="4"/>
  <c r="M28" i="4"/>
  <c r="B28" i="4"/>
  <c r="AA27" i="4"/>
  <c r="U27" i="4"/>
  <c r="M27" i="4"/>
  <c r="B27" i="4"/>
  <c r="AA26" i="4"/>
  <c r="U26" i="4"/>
  <c r="M26" i="4"/>
  <c r="B26" i="4"/>
  <c r="AA25" i="4"/>
  <c r="U25" i="4"/>
  <c r="M25" i="4"/>
  <c r="B25" i="4"/>
  <c r="AA24" i="4"/>
  <c r="U24" i="4"/>
  <c r="M24" i="4"/>
  <c r="B24" i="4"/>
  <c r="AA23" i="4"/>
  <c r="U23" i="4"/>
  <c r="M23" i="4"/>
  <c r="B23" i="4"/>
  <c r="AA22" i="4"/>
  <c r="U22" i="4"/>
  <c r="M22" i="4"/>
  <c r="B22" i="4"/>
  <c r="AA21" i="4"/>
  <c r="U21" i="4"/>
  <c r="M21" i="4"/>
  <c r="B21" i="4"/>
  <c r="AA20" i="4"/>
  <c r="U20" i="4"/>
  <c r="M20" i="4"/>
  <c r="B20" i="4"/>
  <c r="AA19" i="4"/>
  <c r="U19" i="4"/>
  <c r="M19" i="4"/>
  <c r="B19" i="4"/>
  <c r="AA18" i="4"/>
  <c r="U18" i="4"/>
  <c r="M18" i="4"/>
  <c r="B18" i="4"/>
  <c r="AA17" i="4"/>
  <c r="U17" i="4"/>
  <c r="M17" i="4"/>
  <c r="B17" i="4"/>
  <c r="AA16" i="4"/>
  <c r="U16" i="4"/>
  <c r="M16" i="4"/>
  <c r="B16" i="4"/>
  <c r="AA15" i="4"/>
  <c r="U15" i="4"/>
  <c r="M15" i="4"/>
  <c r="B15" i="4"/>
  <c r="AA14" i="4"/>
  <c r="U14" i="4"/>
  <c r="M14" i="4"/>
  <c r="B14" i="4"/>
  <c r="AA13" i="4"/>
  <c r="U13" i="4"/>
  <c r="M13" i="4"/>
  <c r="B13" i="4"/>
  <c r="AA12" i="4"/>
  <c r="U12" i="4"/>
  <c r="M12" i="4"/>
  <c r="B12" i="4"/>
  <c r="AA11" i="4"/>
  <c r="U11" i="4"/>
  <c r="M11" i="4"/>
  <c r="B11" i="4"/>
  <c r="AA10" i="4"/>
  <c r="U10" i="4"/>
  <c r="M10" i="4"/>
  <c r="B10" i="4"/>
  <c r="AC9" i="4"/>
  <c r="AA9" i="4"/>
  <c r="W9" i="4"/>
  <c r="U9" i="4"/>
  <c r="O9" i="4"/>
  <c r="M9" i="4"/>
  <c r="N3" i="4"/>
  <c r="K3" i="4"/>
  <c r="H3" i="4"/>
  <c r="E3" i="4"/>
  <c r="B3" i="4"/>
  <c r="AA39" i="3"/>
  <c r="U39" i="3"/>
  <c r="M39" i="3"/>
  <c r="B39" i="3"/>
  <c r="AA38" i="3"/>
  <c r="U38" i="3"/>
  <c r="M38" i="3"/>
  <c r="B38" i="3"/>
  <c r="AA37" i="3"/>
  <c r="U37" i="3"/>
  <c r="M37" i="3"/>
  <c r="B37" i="3"/>
  <c r="AA36" i="3"/>
  <c r="U36" i="3"/>
  <c r="M36" i="3"/>
  <c r="B36" i="3"/>
  <c r="AA35" i="3"/>
  <c r="U35" i="3"/>
  <c r="M35" i="3"/>
  <c r="B35" i="3"/>
  <c r="AA34" i="3"/>
  <c r="U34" i="3"/>
  <c r="M34" i="3"/>
  <c r="B34" i="3"/>
  <c r="AA33" i="3"/>
  <c r="U33" i="3"/>
  <c r="M33" i="3"/>
  <c r="B33" i="3"/>
  <c r="AA32" i="3"/>
  <c r="U32" i="3"/>
  <c r="M32" i="3"/>
  <c r="B32" i="3"/>
  <c r="AA31" i="3"/>
  <c r="U31" i="3"/>
  <c r="M31" i="3"/>
  <c r="B31" i="3"/>
  <c r="AA30" i="3"/>
  <c r="U30" i="3"/>
  <c r="M30" i="3"/>
  <c r="B30" i="3"/>
  <c r="AA29" i="3"/>
  <c r="U29" i="3"/>
  <c r="M29" i="3"/>
  <c r="B29" i="3"/>
  <c r="AA28" i="3"/>
  <c r="U28" i="3"/>
  <c r="M28" i="3"/>
  <c r="B28" i="3"/>
  <c r="AA27" i="3"/>
  <c r="U27" i="3"/>
  <c r="M27" i="3"/>
  <c r="B27" i="3"/>
  <c r="AA26" i="3"/>
  <c r="U26" i="3"/>
  <c r="M26" i="3"/>
  <c r="B26" i="3"/>
  <c r="AA25" i="3"/>
  <c r="U25" i="3"/>
  <c r="M25" i="3"/>
  <c r="B25" i="3"/>
  <c r="AA24" i="3"/>
  <c r="U24" i="3"/>
  <c r="M24" i="3"/>
  <c r="B24" i="3"/>
  <c r="AA23" i="3"/>
  <c r="U23" i="3"/>
  <c r="M23" i="3"/>
  <c r="B23" i="3"/>
  <c r="AA22" i="3"/>
  <c r="U22" i="3"/>
  <c r="M22" i="3"/>
  <c r="B22" i="3"/>
  <c r="AA21" i="3"/>
  <c r="U21" i="3"/>
  <c r="M21" i="3"/>
  <c r="B21" i="3"/>
  <c r="AA20" i="3"/>
  <c r="U20" i="3"/>
  <c r="M20" i="3"/>
  <c r="B20" i="3"/>
  <c r="AA19" i="3"/>
  <c r="U19" i="3"/>
  <c r="M19" i="3"/>
  <c r="B19" i="3"/>
  <c r="AA18" i="3"/>
  <c r="U18" i="3"/>
  <c r="M18" i="3"/>
  <c r="B18" i="3"/>
  <c r="AA17" i="3"/>
  <c r="U17" i="3"/>
  <c r="M17" i="3"/>
  <c r="B17" i="3"/>
  <c r="AA16" i="3"/>
  <c r="U16" i="3"/>
  <c r="M16" i="3"/>
  <c r="B16" i="3"/>
  <c r="AA15" i="3"/>
  <c r="U15" i="3"/>
  <c r="M15" i="3"/>
  <c r="B15" i="3"/>
  <c r="AA14" i="3"/>
  <c r="U14" i="3"/>
  <c r="M14" i="3"/>
  <c r="B14" i="3"/>
  <c r="AA13" i="3"/>
  <c r="U13" i="3"/>
  <c r="M13" i="3"/>
  <c r="B13" i="3"/>
  <c r="AA12" i="3"/>
  <c r="U12" i="3"/>
  <c r="M12" i="3"/>
  <c r="B12" i="3"/>
  <c r="AA11" i="3"/>
  <c r="U11" i="3"/>
  <c r="M11" i="3"/>
  <c r="B11" i="3"/>
  <c r="AA10" i="3"/>
  <c r="U10" i="3"/>
  <c r="M10" i="3"/>
  <c r="B10" i="3"/>
  <c r="AC9" i="3"/>
  <c r="AA9" i="3"/>
  <c r="W9" i="3"/>
  <c r="U9" i="3"/>
  <c r="O9" i="3"/>
  <c r="M9" i="3"/>
  <c r="N3" i="3"/>
  <c r="K3" i="3"/>
  <c r="H3" i="3"/>
  <c r="E3" i="3"/>
  <c r="B3" i="3"/>
  <c r="AA39" i="2"/>
  <c r="U39" i="2"/>
  <c r="M39" i="2"/>
  <c r="B39" i="2"/>
  <c r="AA38" i="2"/>
  <c r="U38" i="2"/>
  <c r="M38" i="2"/>
  <c r="B38" i="2"/>
  <c r="AA37" i="2"/>
  <c r="U37" i="2"/>
  <c r="M37" i="2"/>
  <c r="B37" i="2"/>
  <c r="AA36" i="2"/>
  <c r="U36" i="2"/>
  <c r="M36" i="2"/>
  <c r="B36" i="2"/>
  <c r="AA35" i="2"/>
  <c r="U35" i="2"/>
  <c r="M35" i="2"/>
  <c r="B35" i="2"/>
  <c r="AA34" i="2"/>
  <c r="U34" i="2"/>
  <c r="M34" i="2"/>
  <c r="B34" i="2"/>
  <c r="AA33" i="2"/>
  <c r="U33" i="2"/>
  <c r="M33" i="2"/>
  <c r="B33" i="2"/>
  <c r="AA32" i="2"/>
  <c r="U32" i="2"/>
  <c r="M32" i="2"/>
  <c r="B32" i="2"/>
  <c r="AA31" i="2"/>
  <c r="U31" i="2"/>
  <c r="M31" i="2"/>
  <c r="B31" i="2"/>
  <c r="AA30" i="2"/>
  <c r="U30" i="2"/>
  <c r="M30" i="2"/>
  <c r="B30" i="2"/>
  <c r="AA29" i="2"/>
  <c r="U29" i="2"/>
  <c r="M29" i="2"/>
  <c r="B29" i="2"/>
  <c r="AA28" i="2"/>
  <c r="U28" i="2"/>
  <c r="M28" i="2"/>
  <c r="B28" i="2"/>
  <c r="AA27" i="2"/>
  <c r="U27" i="2"/>
  <c r="M27" i="2"/>
  <c r="B27" i="2"/>
  <c r="AA26" i="2"/>
  <c r="U26" i="2"/>
  <c r="M26" i="2"/>
  <c r="B26" i="2"/>
  <c r="AA25" i="2"/>
  <c r="U25" i="2"/>
  <c r="M25" i="2"/>
  <c r="B25" i="2"/>
  <c r="AA24" i="2"/>
  <c r="U24" i="2"/>
  <c r="M24" i="2"/>
  <c r="B24" i="2"/>
  <c r="AA23" i="2"/>
  <c r="U23" i="2"/>
  <c r="M23" i="2"/>
  <c r="B23" i="2"/>
  <c r="AA22" i="2"/>
  <c r="U22" i="2"/>
  <c r="M22" i="2"/>
  <c r="B22" i="2"/>
  <c r="AA21" i="2"/>
  <c r="U21" i="2"/>
  <c r="M21" i="2"/>
  <c r="B21" i="2"/>
  <c r="AA20" i="2"/>
  <c r="U20" i="2"/>
  <c r="M20" i="2"/>
  <c r="B20" i="2"/>
  <c r="AA19" i="2"/>
  <c r="U19" i="2"/>
  <c r="M19" i="2"/>
  <c r="B19" i="2"/>
  <c r="AA18" i="2"/>
  <c r="U18" i="2"/>
  <c r="M18" i="2"/>
  <c r="B18" i="2"/>
  <c r="AA17" i="2"/>
  <c r="U17" i="2"/>
  <c r="M17" i="2"/>
  <c r="B17" i="2"/>
  <c r="AA16" i="2"/>
  <c r="U16" i="2"/>
  <c r="M16" i="2"/>
  <c r="B16" i="2"/>
  <c r="AA15" i="2"/>
  <c r="U15" i="2"/>
  <c r="M15" i="2"/>
  <c r="B15" i="2"/>
  <c r="AA14" i="2"/>
  <c r="U14" i="2"/>
  <c r="M14" i="2"/>
  <c r="B14" i="2"/>
  <c r="AA13" i="2"/>
  <c r="U13" i="2"/>
  <c r="M13" i="2"/>
  <c r="B13" i="2"/>
  <c r="AA12" i="2"/>
  <c r="U12" i="2"/>
  <c r="M12" i="2"/>
  <c r="B12" i="2"/>
  <c r="AA11" i="2"/>
  <c r="U11" i="2"/>
  <c r="M11" i="2"/>
  <c r="B11" i="2"/>
  <c r="AA10" i="2"/>
  <c r="U10" i="2"/>
  <c r="M10" i="2"/>
  <c r="B10" i="2"/>
  <c r="AC9" i="2"/>
  <c r="AA9" i="2"/>
  <c r="W9" i="2"/>
  <c r="U9" i="2"/>
  <c r="O9" i="2"/>
  <c r="M9" i="2"/>
  <c r="N3" i="2"/>
  <c r="K3" i="2"/>
  <c r="H3" i="2"/>
  <c r="E3" i="2"/>
  <c r="B3" i="2"/>
  <c r="N38" i="3" l="1"/>
  <c r="O38" i="3" s="1"/>
  <c r="V38" i="4"/>
  <c r="W38" i="4" s="1"/>
  <c r="AB30" i="4"/>
  <c r="AC30" i="4" s="1"/>
  <c r="V14" i="4"/>
  <c r="W14" i="4" s="1"/>
  <c r="V16" i="4"/>
  <c r="W16" i="4" s="1"/>
  <c r="AB14" i="2"/>
  <c r="AC14" i="2" s="1"/>
  <c r="AB18" i="2"/>
  <c r="AC18" i="2" s="1"/>
  <c r="N16" i="4"/>
  <c r="O16" i="4" s="1"/>
  <c r="N24" i="4"/>
  <c r="O24" i="4" s="1"/>
  <c r="N34" i="4"/>
  <c r="O34" i="4" s="1"/>
  <c r="N36" i="4"/>
  <c r="O36" i="4" s="1"/>
  <c r="N39" i="4"/>
  <c r="O39" i="4" s="1"/>
  <c r="N32" i="2"/>
  <c r="O32" i="2" s="1"/>
  <c r="N13" i="2"/>
  <c r="O13" i="2" s="1"/>
  <c r="N15" i="2"/>
  <c r="O15" i="2" s="1"/>
  <c r="N17" i="2"/>
  <c r="O17" i="2" s="1"/>
  <c r="AB10" i="2"/>
  <c r="AC10" i="2" s="1"/>
  <c r="AB12" i="2"/>
  <c r="AC12" i="2" s="1"/>
  <c r="N23" i="2"/>
  <c r="O23" i="2" s="1"/>
  <c r="N25" i="2"/>
  <c r="O25" i="2" s="1"/>
  <c r="N29" i="2"/>
  <c r="O29" i="2" s="1"/>
  <c r="N37" i="2"/>
  <c r="O37" i="2" s="1"/>
  <c r="N38" i="2"/>
  <c r="O38" i="2" s="1"/>
  <c r="N39" i="2"/>
  <c r="O39" i="2" s="1"/>
  <c r="V12" i="3"/>
  <c r="W12" i="3" s="1"/>
  <c r="V14" i="3"/>
  <c r="W14" i="3" s="1"/>
  <c r="V20" i="3"/>
  <c r="W20" i="3" s="1"/>
  <c r="AB20" i="2"/>
  <c r="AC20" i="2" s="1"/>
  <c r="AB22" i="2"/>
  <c r="AC22" i="2" s="1"/>
  <c r="AB32" i="2"/>
  <c r="AC32" i="2" s="1"/>
  <c r="AB24" i="3"/>
  <c r="AC24" i="3" s="1"/>
  <c r="AB36" i="3"/>
  <c r="AC36" i="3" s="1"/>
  <c r="N30" i="3"/>
  <c r="O30" i="3" s="1"/>
  <c r="N27" i="2"/>
  <c r="O27" i="2" s="1"/>
  <c r="AB35" i="2"/>
  <c r="AC35" i="2" s="1"/>
  <c r="AB36" i="2"/>
  <c r="AC36" i="2" s="1"/>
  <c r="AB10" i="3"/>
  <c r="AC10" i="3" s="1"/>
  <c r="AB16" i="3"/>
  <c r="AC16" i="3" s="1"/>
  <c r="AB17" i="3"/>
  <c r="AC17" i="3" s="1"/>
  <c r="V26" i="3"/>
  <c r="W26" i="3" s="1"/>
  <c r="N31" i="4"/>
  <c r="O31" i="4" s="1"/>
  <c r="V22" i="4"/>
  <c r="W22" i="4" s="1"/>
  <c r="V24" i="4"/>
  <c r="W24" i="4" s="1"/>
  <c r="N28" i="3"/>
  <c r="O28" i="3" s="1"/>
  <c r="N34" i="3"/>
  <c r="O34" i="3" s="1"/>
  <c r="N11" i="2"/>
  <c r="O11" i="2" s="1"/>
  <c r="AB16" i="2"/>
  <c r="AC16" i="2" s="1"/>
  <c r="N19" i="2"/>
  <c r="O19" i="2" s="1"/>
  <c r="AB24" i="2"/>
  <c r="AC24" i="2" s="1"/>
  <c r="N31" i="2"/>
  <c r="O31" i="2" s="1"/>
  <c r="AB39" i="2"/>
  <c r="AC39" i="2" s="1"/>
  <c r="V16" i="3"/>
  <c r="W16" i="3" s="1"/>
  <c r="AB25" i="3"/>
  <c r="AC25" i="3" s="1"/>
  <c r="AB31" i="3"/>
  <c r="AC31" i="3" s="1"/>
  <c r="AB32" i="3"/>
  <c r="AC32" i="3" s="1"/>
  <c r="AB11" i="4"/>
  <c r="AC11" i="4" s="1"/>
  <c r="AB19" i="4"/>
  <c r="AC19" i="4" s="1"/>
  <c r="AB27" i="4"/>
  <c r="AC27" i="4" s="1"/>
  <c r="N36" i="3"/>
  <c r="O36" i="3" s="1"/>
  <c r="N21" i="2"/>
  <c r="O21" i="2" s="1"/>
  <c r="AB28" i="2"/>
  <c r="AC28" i="2" s="1"/>
  <c r="N33" i="2"/>
  <c r="O33" i="2" s="1"/>
  <c r="N34" i="2"/>
  <c r="O34" i="2" s="1"/>
  <c r="N11" i="3"/>
  <c r="O11" i="3" s="1"/>
  <c r="N12" i="3"/>
  <c r="O12" i="3" s="1"/>
  <c r="N13" i="3"/>
  <c r="O13" i="3" s="1"/>
  <c r="N14" i="3"/>
  <c r="O14" i="3" s="1"/>
  <c r="N21" i="3"/>
  <c r="O21" i="3" s="1"/>
  <c r="N22" i="3"/>
  <c r="O22" i="3" s="1"/>
  <c r="V11" i="3"/>
  <c r="W11" i="3" s="1"/>
  <c r="V19" i="3"/>
  <c r="W19" i="3" s="1"/>
  <c r="V13" i="4"/>
  <c r="W13" i="4" s="1"/>
  <c r="V29" i="4"/>
  <c r="W29" i="4" s="1"/>
  <c r="V31" i="4"/>
  <c r="W31" i="4" s="1"/>
  <c r="AB31" i="2"/>
  <c r="AC31" i="2" s="1"/>
  <c r="N10" i="3"/>
  <c r="O10" i="3" s="1"/>
  <c r="AB11" i="3"/>
  <c r="AC11" i="3" s="1"/>
  <c r="V13" i="3"/>
  <c r="W13" i="3" s="1"/>
  <c r="N15" i="3"/>
  <c r="O15" i="3" s="1"/>
  <c r="N16" i="3"/>
  <c r="O16" i="3" s="1"/>
  <c r="AB18" i="3"/>
  <c r="AC18" i="3" s="1"/>
  <c r="AB19" i="3"/>
  <c r="AC19" i="3" s="1"/>
  <c r="V21" i="3"/>
  <c r="W21" i="3" s="1"/>
  <c r="N23" i="3"/>
  <c r="O23" i="3" s="1"/>
  <c r="N24" i="3"/>
  <c r="O24" i="3" s="1"/>
  <c r="V27" i="3"/>
  <c r="W27" i="3" s="1"/>
  <c r="V28" i="3"/>
  <c r="W28" i="3" s="1"/>
  <c r="V35" i="3"/>
  <c r="W35" i="3" s="1"/>
  <c r="N10" i="4"/>
  <c r="O10" i="4" s="1"/>
  <c r="AB13" i="4"/>
  <c r="AC13" i="4" s="1"/>
  <c r="V15" i="4"/>
  <c r="W15" i="4" s="1"/>
  <c r="N18" i="4"/>
  <c r="O18" i="4" s="1"/>
  <c r="AB21" i="4"/>
  <c r="AC21" i="4" s="1"/>
  <c r="V23" i="4"/>
  <c r="W23" i="4" s="1"/>
  <c r="N26" i="4"/>
  <c r="O26" i="4" s="1"/>
  <c r="AB29" i="4"/>
  <c r="AC29" i="4" s="1"/>
  <c r="AB31" i="4"/>
  <c r="AC31" i="4" s="1"/>
  <c r="V35" i="4"/>
  <c r="W35" i="4" s="1"/>
  <c r="V18" i="3"/>
  <c r="W18" i="3" s="1"/>
  <c r="V12" i="4"/>
  <c r="W12" i="4" s="1"/>
  <c r="V20" i="4"/>
  <c r="W20" i="4" s="1"/>
  <c r="V21" i="4"/>
  <c r="W21" i="4" s="1"/>
  <c r="V28" i="4"/>
  <c r="W28" i="4" s="1"/>
  <c r="AB33" i="2"/>
  <c r="AC33" i="2" s="1"/>
  <c r="N35" i="2"/>
  <c r="O35" i="2" s="1"/>
  <c r="N36" i="2"/>
  <c r="O36" i="2" s="1"/>
  <c r="AB37" i="2"/>
  <c r="AC37" i="2" s="1"/>
  <c r="AB39" i="3"/>
  <c r="AC39" i="3" s="1"/>
  <c r="AB12" i="3"/>
  <c r="AC12" i="3" s="1"/>
  <c r="AD12" i="3" s="1"/>
  <c r="AE12" i="3" s="1"/>
  <c r="AB13" i="3"/>
  <c r="AC13" i="3" s="1"/>
  <c r="V15" i="3"/>
  <c r="W15" i="3" s="1"/>
  <c r="N17" i="3"/>
  <c r="O17" i="3" s="1"/>
  <c r="N18" i="3"/>
  <c r="O18" i="3" s="1"/>
  <c r="AB20" i="3"/>
  <c r="AC20" i="3" s="1"/>
  <c r="AB21" i="3"/>
  <c r="AC21" i="3" s="1"/>
  <c r="V22" i="3"/>
  <c r="W22" i="3" s="1"/>
  <c r="V23" i="3"/>
  <c r="W23" i="3" s="1"/>
  <c r="V24" i="3"/>
  <c r="W24" i="3" s="1"/>
  <c r="AB27" i="3"/>
  <c r="AC27" i="3" s="1"/>
  <c r="AB29" i="3"/>
  <c r="AC29" i="3" s="1"/>
  <c r="V30" i="3"/>
  <c r="W30" i="3" s="1"/>
  <c r="N31" i="3"/>
  <c r="O31" i="3" s="1"/>
  <c r="N32" i="3"/>
  <c r="O32" i="3" s="1"/>
  <c r="AB33" i="3"/>
  <c r="AC33" i="3" s="1"/>
  <c r="N12" i="4"/>
  <c r="O12" i="4" s="1"/>
  <c r="AB15" i="4"/>
  <c r="AC15" i="4" s="1"/>
  <c r="V17" i="4"/>
  <c r="W17" i="4" s="1"/>
  <c r="N20" i="4"/>
  <c r="O20" i="4" s="1"/>
  <c r="AB23" i="4"/>
  <c r="AC23" i="4" s="1"/>
  <c r="V25" i="4"/>
  <c r="W25" i="4" s="1"/>
  <c r="N28" i="4"/>
  <c r="O28" i="4" s="1"/>
  <c r="AB33" i="4"/>
  <c r="AC33" i="4" s="1"/>
  <c r="AB38" i="4"/>
  <c r="AC38" i="4" s="1"/>
  <c r="V12" i="2"/>
  <c r="W12" i="2" s="1"/>
  <c r="AB26" i="2"/>
  <c r="AC26" i="2" s="1"/>
  <c r="AB30" i="2"/>
  <c r="AC30" i="2" s="1"/>
  <c r="AB34" i="2"/>
  <c r="AC34" i="2" s="1"/>
  <c r="AB38" i="2"/>
  <c r="AC38" i="2" s="1"/>
  <c r="V10" i="3"/>
  <c r="W10" i="3" s="1"/>
  <c r="AB14" i="3"/>
  <c r="AC14" i="3" s="1"/>
  <c r="AB15" i="3"/>
  <c r="AC15" i="3" s="1"/>
  <c r="V17" i="3"/>
  <c r="W17" i="3" s="1"/>
  <c r="N19" i="3"/>
  <c r="O19" i="3" s="1"/>
  <c r="N20" i="3"/>
  <c r="O20" i="3" s="1"/>
  <c r="AB22" i="3"/>
  <c r="AC22" i="3" s="1"/>
  <c r="AB23" i="3"/>
  <c r="AC23" i="3" s="1"/>
  <c r="N26" i="3"/>
  <c r="O26" i="3" s="1"/>
  <c r="V32" i="3"/>
  <c r="W32" i="3" s="1"/>
  <c r="V39" i="3"/>
  <c r="W39" i="3" s="1"/>
  <c r="V10" i="4"/>
  <c r="W10" i="4" s="1"/>
  <c r="V11" i="4"/>
  <c r="W11" i="4" s="1"/>
  <c r="N14" i="4"/>
  <c r="O14" i="4" s="1"/>
  <c r="AB17" i="4"/>
  <c r="AC17" i="4" s="1"/>
  <c r="V18" i="4"/>
  <c r="W18" i="4" s="1"/>
  <c r="V19" i="4"/>
  <c r="W19" i="4" s="1"/>
  <c r="N22" i="4"/>
  <c r="O22" i="4" s="1"/>
  <c r="AB25" i="4"/>
  <c r="AC25" i="4" s="1"/>
  <c r="V26" i="4"/>
  <c r="W26" i="4" s="1"/>
  <c r="V27" i="4"/>
  <c r="W27" i="4" s="1"/>
  <c r="N30" i="4"/>
  <c r="O30" i="4" s="1"/>
  <c r="N33" i="4"/>
  <c r="O33" i="4" s="1"/>
  <c r="V10" i="2"/>
  <c r="W10" i="2" s="1"/>
  <c r="V13" i="2"/>
  <c r="W13" i="2" s="1"/>
  <c r="V18" i="2"/>
  <c r="W18" i="2" s="1"/>
  <c r="V21" i="2"/>
  <c r="W21" i="2" s="1"/>
  <c r="V26" i="2"/>
  <c r="W26" i="2" s="1"/>
  <c r="V29" i="2"/>
  <c r="W29" i="2" s="1"/>
  <c r="V34" i="2"/>
  <c r="W34" i="2" s="1"/>
  <c r="V37" i="2"/>
  <c r="W37" i="2" s="1"/>
  <c r="AD13" i="3"/>
  <c r="AE13" i="3" s="1"/>
  <c r="V15" i="2"/>
  <c r="W15" i="2" s="1"/>
  <c r="V20" i="2"/>
  <c r="W20" i="2" s="1"/>
  <c r="V23" i="2"/>
  <c r="W23" i="2" s="1"/>
  <c r="V28" i="2"/>
  <c r="W28" i="2" s="1"/>
  <c r="V31" i="2"/>
  <c r="W31" i="2" s="1"/>
  <c r="V36" i="2"/>
  <c r="W36" i="2" s="1"/>
  <c r="V39" i="2"/>
  <c r="W39" i="2" s="1"/>
  <c r="V14" i="2"/>
  <c r="W14" i="2" s="1"/>
  <c r="V17" i="2"/>
  <c r="W17" i="2" s="1"/>
  <c r="V22" i="2"/>
  <c r="W22" i="2" s="1"/>
  <c r="V25" i="2"/>
  <c r="W25" i="2" s="1"/>
  <c r="V30" i="2"/>
  <c r="W30" i="2" s="1"/>
  <c r="V33" i="2"/>
  <c r="W33" i="2" s="1"/>
  <c r="V38" i="2"/>
  <c r="W38" i="2" s="1"/>
  <c r="V11" i="2"/>
  <c r="W11" i="2" s="1"/>
  <c r="V16" i="2"/>
  <c r="W16" i="2" s="1"/>
  <c r="V19" i="2"/>
  <c r="W19" i="2" s="1"/>
  <c r="V24" i="2"/>
  <c r="W24" i="2" s="1"/>
  <c r="V27" i="2"/>
  <c r="W27" i="2" s="1"/>
  <c r="V32" i="2"/>
  <c r="W32" i="2" s="1"/>
  <c r="AD32" i="2" s="1"/>
  <c r="AE32" i="2" s="1"/>
  <c r="V35" i="2"/>
  <c r="W35" i="2" s="1"/>
  <c r="V25" i="3"/>
  <c r="W25" i="3" s="1"/>
  <c r="N29" i="3"/>
  <c r="O29" i="3" s="1"/>
  <c r="AB30" i="3"/>
  <c r="AC30" i="3" s="1"/>
  <c r="V33" i="3"/>
  <c r="W33" i="3" s="1"/>
  <c r="V36" i="3"/>
  <c r="W36" i="3" s="1"/>
  <c r="N37" i="3"/>
  <c r="O37" i="3" s="1"/>
  <c r="AB37" i="3"/>
  <c r="AC37" i="3" s="1"/>
  <c r="V38" i="3"/>
  <c r="W38" i="3" s="1"/>
  <c r="N10" i="2"/>
  <c r="O10" i="2" s="1"/>
  <c r="AB11" i="2"/>
  <c r="AC11" i="2" s="1"/>
  <c r="N12" i="2"/>
  <c r="O12" i="2" s="1"/>
  <c r="AB13" i="2"/>
  <c r="AC13" i="2" s="1"/>
  <c r="N14" i="2"/>
  <c r="O14" i="2" s="1"/>
  <c r="AB15" i="2"/>
  <c r="AC15" i="2" s="1"/>
  <c r="N16" i="2"/>
  <c r="O16" i="2" s="1"/>
  <c r="AB17" i="2"/>
  <c r="AC17" i="2" s="1"/>
  <c r="N18" i="2"/>
  <c r="O18" i="2" s="1"/>
  <c r="AB19" i="2"/>
  <c r="AC19" i="2" s="1"/>
  <c r="N20" i="2"/>
  <c r="O20" i="2" s="1"/>
  <c r="AB21" i="2"/>
  <c r="AC21" i="2" s="1"/>
  <c r="N22" i="2"/>
  <c r="O22" i="2" s="1"/>
  <c r="AB23" i="2"/>
  <c r="AC23" i="2" s="1"/>
  <c r="N24" i="2"/>
  <c r="O24" i="2" s="1"/>
  <c r="AB25" i="2"/>
  <c r="AC25" i="2" s="1"/>
  <c r="N26" i="2"/>
  <c r="O26" i="2" s="1"/>
  <c r="AB27" i="2"/>
  <c r="AC27" i="2" s="1"/>
  <c r="N28" i="2"/>
  <c r="O28" i="2" s="1"/>
  <c r="AB29" i="2"/>
  <c r="AC29" i="2" s="1"/>
  <c r="N30" i="2"/>
  <c r="O30" i="2" s="1"/>
  <c r="N27" i="3"/>
  <c r="O27" i="3" s="1"/>
  <c r="AB28" i="3"/>
  <c r="AC28" i="3" s="1"/>
  <c r="V31" i="3"/>
  <c r="W31" i="3" s="1"/>
  <c r="AB34" i="3"/>
  <c r="AC34" i="3" s="1"/>
  <c r="V37" i="3"/>
  <c r="W37" i="3" s="1"/>
  <c r="N25" i="3"/>
  <c r="O25" i="3" s="1"/>
  <c r="AB26" i="3"/>
  <c r="AC26" i="3" s="1"/>
  <c r="V29" i="3"/>
  <c r="W29" i="3" s="1"/>
  <c r="N33" i="3"/>
  <c r="O33" i="3" s="1"/>
  <c r="V34" i="3"/>
  <c r="W34" i="3" s="1"/>
  <c r="N35" i="3"/>
  <c r="O35" i="3" s="1"/>
  <c r="AB35" i="3"/>
  <c r="AC35" i="3" s="1"/>
  <c r="AB38" i="3"/>
  <c r="AC38" i="3" s="1"/>
  <c r="N39" i="3"/>
  <c r="O39" i="3" s="1"/>
  <c r="V32" i="4"/>
  <c r="W32" i="4" s="1"/>
  <c r="AB34" i="4"/>
  <c r="AC34" i="4" s="1"/>
  <c r="AB35" i="4"/>
  <c r="AC35" i="4" s="1"/>
  <c r="V37" i="4"/>
  <c r="W37" i="4" s="1"/>
  <c r="N38" i="4"/>
  <c r="O38" i="4" s="1"/>
  <c r="V33" i="4"/>
  <c r="W33" i="4" s="1"/>
  <c r="N35" i="4"/>
  <c r="O35" i="4" s="1"/>
  <c r="V36" i="4"/>
  <c r="W36" i="4" s="1"/>
  <c r="AB37" i="4"/>
  <c r="AC37" i="4" s="1"/>
  <c r="V39" i="4"/>
  <c r="W39" i="4" s="1"/>
  <c r="AB10" i="4"/>
  <c r="AC10" i="4" s="1"/>
  <c r="N11" i="4"/>
  <c r="O11" i="4" s="1"/>
  <c r="AB12" i="4"/>
  <c r="AC12" i="4" s="1"/>
  <c r="N13" i="4"/>
  <c r="O13" i="4" s="1"/>
  <c r="AB14" i="4"/>
  <c r="AC14" i="4" s="1"/>
  <c r="N15" i="4"/>
  <c r="O15" i="4" s="1"/>
  <c r="AB16" i="4"/>
  <c r="AC16" i="4" s="1"/>
  <c r="N17" i="4"/>
  <c r="O17" i="4" s="1"/>
  <c r="AB18" i="4"/>
  <c r="AC18" i="4" s="1"/>
  <c r="N19" i="4"/>
  <c r="O19" i="4" s="1"/>
  <c r="AB20" i="4"/>
  <c r="AC20" i="4" s="1"/>
  <c r="N21" i="4"/>
  <c r="O21" i="4" s="1"/>
  <c r="AB22" i="4"/>
  <c r="AC22" i="4" s="1"/>
  <c r="N23" i="4"/>
  <c r="O23" i="4" s="1"/>
  <c r="AD23" i="4" s="1"/>
  <c r="AE23" i="4" s="1"/>
  <c r="AB24" i="4"/>
  <c r="AC24" i="4" s="1"/>
  <c r="N25" i="4"/>
  <c r="O25" i="4" s="1"/>
  <c r="AB26" i="4"/>
  <c r="AC26" i="4" s="1"/>
  <c r="N27" i="4"/>
  <c r="O27" i="4" s="1"/>
  <c r="AB28" i="4"/>
  <c r="AC28" i="4" s="1"/>
  <c r="N29" i="4"/>
  <c r="O29" i="4" s="1"/>
  <c r="V30" i="4"/>
  <c r="W30" i="4" s="1"/>
  <c r="N32" i="4"/>
  <c r="O32" i="4" s="1"/>
  <c r="AB32" i="4"/>
  <c r="AC32" i="4" s="1"/>
  <c r="V34" i="4"/>
  <c r="W34" i="4" s="1"/>
  <c r="AB36" i="4"/>
  <c r="AC36" i="4" s="1"/>
  <c r="N37" i="4"/>
  <c r="O37" i="4" s="1"/>
  <c r="AB39" i="4"/>
  <c r="AC39" i="4" s="1"/>
  <c r="AD15" i="4" l="1"/>
  <c r="AE15" i="4" s="1"/>
  <c r="AD16" i="2"/>
  <c r="AE16" i="2" s="1"/>
  <c r="AD24" i="4"/>
  <c r="AE24" i="4" s="1"/>
  <c r="AF24" i="4" s="1"/>
  <c r="AD16" i="4"/>
  <c r="AE16" i="4" s="1"/>
  <c r="AF16" i="4" s="1"/>
  <c r="AD12" i="4"/>
  <c r="AE12" i="4" s="1"/>
  <c r="AD38" i="4"/>
  <c r="AE38" i="4" s="1"/>
  <c r="F35" i="5" s="1"/>
  <c r="AD26" i="4"/>
  <c r="AE26" i="4" s="1"/>
  <c r="AF26" i="4" s="1"/>
  <c r="AD35" i="4"/>
  <c r="AE35" i="4" s="1"/>
  <c r="F32" i="5" s="1"/>
  <c r="AD27" i="3"/>
  <c r="AE27" i="3" s="1"/>
  <c r="AD37" i="2"/>
  <c r="AE37" i="2" s="1"/>
  <c r="AG37" i="2" s="1"/>
  <c r="AD34" i="4"/>
  <c r="AE34" i="4" s="1"/>
  <c r="AF34" i="4" s="1"/>
  <c r="AD25" i="4"/>
  <c r="AE25" i="4" s="1"/>
  <c r="AG25" i="4" s="1"/>
  <c r="AD10" i="2"/>
  <c r="AE10" i="2" s="1"/>
  <c r="AD38" i="2"/>
  <c r="AE38" i="2" s="1"/>
  <c r="D35" i="5" s="1"/>
  <c r="AD31" i="3"/>
  <c r="AE31" i="3" s="1"/>
  <c r="AF31" i="3" s="1"/>
  <c r="AD31" i="2"/>
  <c r="AE31" i="2" s="1"/>
  <c r="AF31" i="2" s="1"/>
  <c r="AD21" i="3"/>
  <c r="AE21" i="3" s="1"/>
  <c r="AD15" i="3"/>
  <c r="AE15" i="3" s="1"/>
  <c r="AF15" i="3" s="1"/>
  <c r="AD31" i="4"/>
  <c r="AE31" i="4" s="1"/>
  <c r="AG31" i="4" s="1"/>
  <c r="AD12" i="2"/>
  <c r="AE12" i="2" s="1"/>
  <c r="D9" i="5" s="1"/>
  <c r="AD34" i="2"/>
  <c r="AE34" i="2" s="1"/>
  <c r="D31" i="5" s="1"/>
  <c r="AD20" i="3"/>
  <c r="AE20" i="3" s="1"/>
  <c r="E17" i="5" s="1"/>
  <c r="AD14" i="3"/>
  <c r="AE14" i="3" s="1"/>
  <c r="AF14" i="3" s="1"/>
  <c r="AD18" i="3"/>
  <c r="AE18" i="3" s="1"/>
  <c r="AF18" i="3" s="1"/>
  <c r="AD19" i="3"/>
  <c r="AE19" i="3" s="1"/>
  <c r="E16" i="5" s="1"/>
  <c r="AD16" i="3"/>
  <c r="AE16" i="3" s="1"/>
  <c r="E13" i="5" s="1"/>
  <c r="AD14" i="2"/>
  <c r="AE14" i="2" s="1"/>
  <c r="AG14" i="2" s="1"/>
  <c r="AD20" i="2"/>
  <c r="AE20" i="2" s="1"/>
  <c r="AG20" i="2" s="1"/>
  <c r="AD39" i="2"/>
  <c r="AE39" i="2" s="1"/>
  <c r="AG39" i="2" s="1"/>
  <c r="AD26" i="2"/>
  <c r="AE26" i="2" s="1"/>
  <c r="D23" i="5" s="1"/>
  <c r="AD36" i="3"/>
  <c r="AE36" i="3" s="1"/>
  <c r="E33" i="5" s="1"/>
  <c r="AD19" i="2"/>
  <c r="AE19" i="2" s="1"/>
  <c r="D16" i="5" s="1"/>
  <c r="AD30" i="4"/>
  <c r="AE30" i="4" s="1"/>
  <c r="F27" i="5" s="1"/>
  <c r="AD22" i="4"/>
  <c r="AE22" i="4" s="1"/>
  <c r="AF22" i="4" s="1"/>
  <c r="AD14" i="4"/>
  <c r="AE14" i="4" s="1"/>
  <c r="AF14" i="4" s="1"/>
  <c r="AD10" i="4"/>
  <c r="AE10" i="4" s="1"/>
  <c r="AF10" i="4" s="1"/>
  <c r="AD25" i="3"/>
  <c r="AE25" i="3" s="1"/>
  <c r="E22" i="5" s="1"/>
  <c r="AD28" i="2"/>
  <c r="AE28" i="2" s="1"/>
  <c r="AF28" i="2" s="1"/>
  <c r="AD24" i="2"/>
  <c r="AE24" i="2" s="1"/>
  <c r="D21" i="5" s="1"/>
  <c r="AD30" i="3"/>
  <c r="AE30" i="3" s="1"/>
  <c r="AF30" i="3" s="1"/>
  <c r="AD28" i="4"/>
  <c r="AE28" i="4" s="1"/>
  <c r="AF28" i="4" s="1"/>
  <c r="AD22" i="3"/>
  <c r="AE22" i="3" s="1"/>
  <c r="AF22" i="3" s="1"/>
  <c r="AD23" i="3"/>
  <c r="AE23" i="3" s="1"/>
  <c r="AG23" i="3" s="1"/>
  <c r="AD23" i="2"/>
  <c r="AE23" i="2" s="1"/>
  <c r="AF23" i="2" s="1"/>
  <c r="AD37" i="4"/>
  <c r="AE37" i="4" s="1"/>
  <c r="AG37" i="4" s="1"/>
  <c r="AD27" i="4"/>
  <c r="AE27" i="4" s="1"/>
  <c r="AF27" i="4" s="1"/>
  <c r="AD19" i="4"/>
  <c r="AE19" i="4" s="1"/>
  <c r="F16" i="5" s="1"/>
  <c r="AD11" i="4"/>
  <c r="AE11" i="4" s="1"/>
  <c r="AF11" i="4" s="1"/>
  <c r="AD26" i="3"/>
  <c r="AE26" i="3" s="1"/>
  <c r="E23" i="5" s="1"/>
  <c r="AD33" i="2"/>
  <c r="AE33" i="2" s="1"/>
  <c r="D30" i="5" s="1"/>
  <c r="AD36" i="2"/>
  <c r="AE36" i="2" s="1"/>
  <c r="AF36" i="2" s="1"/>
  <c r="AD18" i="4"/>
  <c r="AE18" i="4" s="1"/>
  <c r="F15" i="5" s="1"/>
  <c r="AD39" i="3"/>
  <c r="AE39" i="3" s="1"/>
  <c r="E36" i="5" s="1"/>
  <c r="AD34" i="3"/>
  <c r="AE34" i="3" s="1"/>
  <c r="AF34" i="3" s="1"/>
  <c r="AD28" i="3"/>
  <c r="AE28" i="3" s="1"/>
  <c r="AF28" i="3" s="1"/>
  <c r="AD17" i="4"/>
  <c r="AE17" i="4" s="1"/>
  <c r="AG17" i="4" s="1"/>
  <c r="AD13" i="4"/>
  <c r="AE13" i="4" s="1"/>
  <c r="AG13" i="4" s="1"/>
  <c r="AD39" i="4"/>
  <c r="AE39" i="4" s="1"/>
  <c r="AF39" i="4" s="1"/>
  <c r="AD33" i="3"/>
  <c r="AE33" i="3" s="1"/>
  <c r="AF33" i="3" s="1"/>
  <c r="AD24" i="3"/>
  <c r="AE24" i="3" s="1"/>
  <c r="AF24" i="3" s="1"/>
  <c r="AD11" i="3"/>
  <c r="AE11" i="3" s="1"/>
  <c r="AF11" i="3" s="1"/>
  <c r="AD29" i="4"/>
  <c r="AE29" i="4" s="1"/>
  <c r="AG29" i="4" s="1"/>
  <c r="AD21" i="4"/>
  <c r="AE21" i="4" s="1"/>
  <c r="AG21" i="4" s="1"/>
  <c r="AD33" i="4"/>
  <c r="AE33" i="4" s="1"/>
  <c r="AG33" i="4" s="1"/>
  <c r="AD17" i="2"/>
  <c r="AE17" i="2" s="1"/>
  <c r="D14" i="5" s="1"/>
  <c r="AD29" i="2"/>
  <c r="AE29" i="2" s="1"/>
  <c r="D26" i="5" s="1"/>
  <c r="AD13" i="2"/>
  <c r="AE13" i="2" s="1"/>
  <c r="D10" i="5" s="1"/>
  <c r="AD17" i="3"/>
  <c r="AE17" i="3" s="1"/>
  <c r="AD10" i="3"/>
  <c r="AE10" i="3" s="1"/>
  <c r="AD20" i="4"/>
  <c r="AE20" i="4" s="1"/>
  <c r="AG20" i="4" s="1"/>
  <c r="AD27" i="2"/>
  <c r="AE27" i="2" s="1"/>
  <c r="D24" i="5" s="1"/>
  <c r="AD11" i="2"/>
  <c r="AE11" i="2" s="1"/>
  <c r="D8" i="5" s="1"/>
  <c r="AD15" i="2"/>
  <c r="AE15" i="2" s="1"/>
  <c r="D12" i="5" s="1"/>
  <c r="AD32" i="3"/>
  <c r="AE32" i="3" s="1"/>
  <c r="AD36" i="4"/>
  <c r="AE36" i="4" s="1"/>
  <c r="F33" i="5" s="1"/>
  <c r="AD30" i="2"/>
  <c r="AE30" i="2" s="1"/>
  <c r="D27" i="5" s="1"/>
  <c r="AD22" i="2"/>
  <c r="AE22" i="2" s="1"/>
  <c r="AF22" i="2" s="1"/>
  <c r="AD18" i="2"/>
  <c r="AE18" i="2" s="1"/>
  <c r="AG18" i="2" s="1"/>
  <c r="AD38" i="3"/>
  <c r="AE38" i="3" s="1"/>
  <c r="AF38" i="3" s="1"/>
  <c r="AD35" i="2"/>
  <c r="AE35" i="2" s="1"/>
  <c r="AF35" i="2" s="1"/>
  <c r="AD25" i="2"/>
  <c r="AE25" i="2" s="1"/>
  <c r="AF25" i="2" s="1"/>
  <c r="AD21" i="2"/>
  <c r="AE21" i="2" s="1"/>
  <c r="AF21" i="2" s="1"/>
  <c r="AF36" i="4"/>
  <c r="AG10" i="4"/>
  <c r="D29" i="5"/>
  <c r="AG32" i="2"/>
  <c r="AF32" i="2"/>
  <c r="AG24" i="4"/>
  <c r="AF12" i="4"/>
  <c r="F9" i="5"/>
  <c r="AG12" i="4"/>
  <c r="E24" i="5"/>
  <c r="AG27" i="3"/>
  <c r="AF27" i="3"/>
  <c r="E18" i="5"/>
  <c r="AG21" i="3"/>
  <c r="AF21" i="3"/>
  <c r="AG38" i="4"/>
  <c r="D7" i="5"/>
  <c r="AG10" i="2"/>
  <c r="AF10" i="2"/>
  <c r="AD32" i="4"/>
  <c r="AE32" i="4" s="1"/>
  <c r="F20" i="5"/>
  <c r="AG23" i="4"/>
  <c r="AF23" i="4"/>
  <c r="F12" i="5"/>
  <c r="AG15" i="4"/>
  <c r="AF15" i="4"/>
  <c r="AD35" i="3"/>
  <c r="AE35" i="3" s="1"/>
  <c r="AD37" i="3"/>
  <c r="AE37" i="3" s="1"/>
  <c r="AD29" i="3"/>
  <c r="AE29" i="3" s="1"/>
  <c r="AG19" i="3"/>
  <c r="AF19" i="3"/>
  <c r="AF34" i="2"/>
  <c r="E10" i="5"/>
  <c r="AG13" i="3"/>
  <c r="AF13" i="3"/>
  <c r="D13" i="5"/>
  <c r="AG16" i="2"/>
  <c r="AF16" i="2"/>
  <c r="E9" i="5"/>
  <c r="AF12" i="3"/>
  <c r="AG12" i="3"/>
  <c r="AF19" i="2" l="1"/>
  <c r="AG19" i="2"/>
  <c r="F21" i="5"/>
  <c r="D17" i="5"/>
  <c r="AG23" i="2"/>
  <c r="AG30" i="3"/>
  <c r="E15" i="5"/>
  <c r="AG16" i="4"/>
  <c r="F13" i="5"/>
  <c r="AF38" i="4"/>
  <c r="F28" i="5"/>
  <c r="D32" i="5"/>
  <c r="D36" i="5"/>
  <c r="AG15" i="3"/>
  <c r="D34" i="5"/>
  <c r="AF16" i="3"/>
  <c r="AG34" i="4"/>
  <c r="AF35" i="4"/>
  <c r="AF12" i="2"/>
  <c r="AG31" i="2"/>
  <c r="AG12" i="2"/>
  <c r="E20" i="5"/>
  <c r="D11" i="5"/>
  <c r="D28" i="5"/>
  <c r="AG14" i="4"/>
  <c r="AG30" i="2"/>
  <c r="AF24" i="2"/>
  <c r="AG35" i="4"/>
  <c r="AF26" i="2"/>
  <c r="AF25" i="4"/>
  <c r="AG34" i="3"/>
  <c r="AG31" i="3"/>
  <c r="AG26" i="4"/>
  <c r="F31" i="5"/>
  <c r="E11" i="5"/>
  <c r="AF30" i="2"/>
  <c r="F22" i="5"/>
  <c r="AG39" i="4"/>
  <c r="E28" i="5"/>
  <c r="F23" i="5"/>
  <c r="G23" i="5" s="1"/>
  <c r="I23" i="5" s="1"/>
  <c r="AG14" i="3"/>
  <c r="AF14" i="2"/>
  <c r="AG26" i="2"/>
  <c r="AF13" i="2"/>
  <c r="AF31" i="4"/>
  <c r="AG24" i="2"/>
  <c r="AF19" i="4"/>
  <c r="E12" i="5"/>
  <c r="G12" i="5" s="1"/>
  <c r="AG20" i="3"/>
  <c r="AF29" i="4"/>
  <c r="AF17" i="2"/>
  <c r="E31" i="5"/>
  <c r="AF38" i="2"/>
  <c r="F11" i="5"/>
  <c r="AG16" i="3"/>
  <c r="AG19" i="4"/>
  <c r="AF23" i="3"/>
  <c r="AF20" i="3"/>
  <c r="AG22" i="2"/>
  <c r="F26" i="5"/>
  <c r="AG17" i="2"/>
  <c r="F36" i="5"/>
  <c r="AF39" i="2"/>
  <c r="AG38" i="2"/>
  <c r="AF37" i="2"/>
  <c r="AG35" i="2"/>
  <c r="AF20" i="2"/>
  <c r="AG34" i="2"/>
  <c r="AF36" i="3"/>
  <c r="AG18" i="3"/>
  <c r="AF25" i="3"/>
  <c r="D15" i="5"/>
  <c r="G15" i="5" s="1"/>
  <c r="AG36" i="3"/>
  <c r="AG26" i="3"/>
  <c r="F34" i="5"/>
  <c r="F30" i="5"/>
  <c r="AG18" i="4"/>
  <c r="AF27" i="2"/>
  <c r="AF33" i="4"/>
  <c r="E21" i="5"/>
  <c r="G21" i="5" s="1"/>
  <c r="I21" i="5" s="1"/>
  <c r="AF17" i="4"/>
  <c r="AG13" i="2"/>
  <c r="AF18" i="4"/>
  <c r="AF30" i="4"/>
  <c r="G13" i="5"/>
  <c r="I13" i="5" s="1"/>
  <c r="AG28" i="4"/>
  <c r="AF26" i="3"/>
  <c r="AG28" i="2"/>
  <c r="AG21" i="2"/>
  <c r="AG11" i="3"/>
  <c r="F25" i="5"/>
  <c r="AG25" i="3"/>
  <c r="AF37" i="4"/>
  <c r="AF18" i="2"/>
  <c r="AG24" i="3"/>
  <c r="F14" i="5"/>
  <c r="AG27" i="2"/>
  <c r="F19" i="5"/>
  <c r="AG30" i="4"/>
  <c r="D18" i="5"/>
  <c r="E19" i="5"/>
  <c r="AG27" i="4"/>
  <c r="D25" i="5"/>
  <c r="AF39" i="3"/>
  <c r="F24" i="5"/>
  <c r="G24" i="5" s="1"/>
  <c r="E8" i="5"/>
  <c r="AF13" i="4"/>
  <c r="AF33" i="2"/>
  <c r="AG22" i="4"/>
  <c r="AG22" i="3"/>
  <c r="AG39" i="3"/>
  <c r="F10" i="5"/>
  <c r="G10" i="5" s="1"/>
  <c r="AG33" i="2"/>
  <c r="AF21" i="4"/>
  <c r="AG28" i="3"/>
  <c r="D20" i="5"/>
  <c r="E27" i="5"/>
  <c r="G27" i="5" s="1"/>
  <c r="I27" i="5" s="1"/>
  <c r="F7" i="5"/>
  <c r="AG11" i="4"/>
  <c r="AG33" i="3"/>
  <c r="AF29" i="2"/>
  <c r="F17" i="5"/>
  <c r="AG36" i="2"/>
  <c r="F8" i="5"/>
  <c r="D19" i="5"/>
  <c r="E30" i="5"/>
  <c r="F18" i="5"/>
  <c r="AF15" i="2"/>
  <c r="AF20" i="4"/>
  <c r="AG29" i="2"/>
  <c r="D33" i="5"/>
  <c r="G33" i="5" s="1"/>
  <c r="E25" i="5"/>
  <c r="AG25" i="2"/>
  <c r="AG15" i="2"/>
  <c r="D22" i="5"/>
  <c r="E14" i="5"/>
  <c r="AG17" i="3"/>
  <c r="AF17" i="3"/>
  <c r="AF11" i="2"/>
  <c r="E35" i="5"/>
  <c r="G35" i="5" s="1"/>
  <c r="AG32" i="3"/>
  <c r="AF32" i="3"/>
  <c r="E29" i="5"/>
  <c r="AG38" i="3"/>
  <c r="AG11" i="2"/>
  <c r="AG36" i="4"/>
  <c r="G16" i="5"/>
  <c r="I16" i="5" s="1"/>
  <c r="E7" i="5"/>
  <c r="AF10" i="3"/>
  <c r="AG10" i="3"/>
  <c r="E26" i="5"/>
  <c r="AG29" i="3"/>
  <c r="AF29" i="3"/>
  <c r="E34" i="5"/>
  <c r="G34" i="5" s="1"/>
  <c r="AG37" i="3"/>
  <c r="AF37" i="3"/>
  <c r="G9" i="5"/>
  <c r="E32" i="5"/>
  <c r="AG35" i="3"/>
  <c r="AF35" i="3"/>
  <c r="AF32" i="4"/>
  <c r="F29" i="5"/>
  <c r="AG32" i="4"/>
  <c r="G17" i="5" l="1"/>
  <c r="G20" i="5"/>
  <c r="I20" i="5" s="1"/>
  <c r="G36" i="5"/>
  <c r="H36" i="5" s="1"/>
  <c r="G28" i="5"/>
  <c r="I28" i="5" s="1"/>
  <c r="G32" i="5"/>
  <c r="I32" i="5" s="1"/>
  <c r="G22" i="5"/>
  <c r="I22" i="5" s="1"/>
  <c r="G31" i="5"/>
  <c r="I31" i="5" s="1"/>
  <c r="G26" i="5"/>
  <c r="H26" i="5" s="1"/>
  <c r="G14" i="5"/>
  <c r="I14" i="5" s="1"/>
  <c r="G30" i="5"/>
  <c r="H30" i="5" s="1"/>
  <c r="G11" i="5"/>
  <c r="I11" i="5" s="1"/>
  <c r="G18" i="5"/>
  <c r="I18" i="5" s="1"/>
  <c r="H23" i="5"/>
  <c r="H21" i="5"/>
  <c r="H13" i="5"/>
  <c r="G8" i="5"/>
  <c r="I8" i="5" s="1"/>
  <c r="G25" i="5"/>
  <c r="I25" i="5" s="1"/>
  <c r="G19" i="5"/>
  <c r="H19" i="5" s="1"/>
  <c r="G29" i="5"/>
  <c r="I29" i="5" s="1"/>
  <c r="G7" i="5"/>
  <c r="H7" i="5" s="1"/>
  <c r="H27" i="5"/>
  <c r="H16" i="5"/>
  <c r="I35" i="5"/>
  <c r="H35" i="5"/>
  <c r="I33" i="5"/>
  <c r="H33" i="5"/>
  <c r="I36" i="5"/>
  <c r="I15" i="5"/>
  <c r="H15" i="5"/>
  <c r="I9" i="5"/>
  <c r="H9" i="5"/>
  <c r="I24" i="5"/>
  <c r="H24" i="5"/>
  <c r="I10" i="5"/>
  <c r="H10" i="5"/>
  <c r="I17" i="5"/>
  <c r="H17" i="5"/>
  <c r="I12" i="5"/>
  <c r="H12" i="5"/>
  <c r="I34" i="5"/>
  <c r="H34" i="5"/>
  <c r="H11" i="5" l="1"/>
  <c r="H20" i="5"/>
  <c r="H18" i="5"/>
  <c r="H32" i="5"/>
  <c r="H31" i="5"/>
  <c r="I26" i="5"/>
  <c r="H28" i="5"/>
  <c r="I30" i="5"/>
  <c r="H22" i="5"/>
  <c r="H14" i="5"/>
  <c r="I19" i="5"/>
  <c r="H25" i="5"/>
  <c r="H8" i="5"/>
  <c r="H29" i="5"/>
  <c r="I7" i="5"/>
</calcChain>
</file>

<file path=xl/sharedStrings.xml><?xml version="1.0" encoding="utf-8"?>
<sst xmlns="http://schemas.openxmlformats.org/spreadsheetml/2006/main" count="285" uniqueCount="136">
  <si>
    <t>TEACHER CLASS RECORD — INPUT &amp; STUDENT ROSTER</t>
  </si>
  <si>
    <t>Region</t>
  </si>
  <si>
    <t>Division</t>
  </si>
  <si>
    <t>School Name</t>
  </si>
  <si>
    <t>School ID</t>
  </si>
  <si>
    <t>School Year</t>
  </si>
  <si>
    <t>Grade &amp; Section</t>
  </si>
  <si>
    <t>Grade 7 – Section A</t>
  </si>
  <si>
    <t>Teacher</t>
  </si>
  <si>
    <t>Subject</t>
  </si>
  <si>
    <t>Subject Group</t>
  </si>
  <si>
    <t>AP / English / Filipino / Mathematics / Science / GMRC / Values Education</t>
  </si>
  <si>
    <t>STUDENT ROSTER</t>
  </si>
  <si>
    <t>HOW TO USE</t>
  </si>
  <si>
    <t>No.</t>
  </si>
  <si>
    <t>Learner Name</t>
  </si>
  <si>
    <t>Sex</t>
  </si>
  <si>
    <t>Notes</t>
  </si>
  <si>
    <t>1. Edit the blue cells only: school details, subject group, learner names, sex, and scores.</t>
  </si>
  <si>
    <t>M</t>
  </si>
  <si>
    <t>2. Each term automatically calculates WWs, PTs, STs/TE, Initial Grade, Transmuted Term Grade, and Descriptor.</t>
  </si>
  <si>
    <t>3. Default common-learning-area weights are 20% WW + 50% PT + 30% STs/TE.</t>
  </si>
  <si>
    <t>4. Use the second workbook if you need more written tests and performance tasks per term.</t>
  </si>
  <si>
    <t>5. The final grade is the average of the three transmuted term grades.</t>
  </si>
  <si>
    <t>6. 75 is treated as the passing grade in the summary.</t>
  </si>
  <si>
    <t>F</t>
  </si>
  <si>
    <t>TERM 1 — CLASS RECORD</t>
  </si>
  <si>
    <t>School</t>
  </si>
  <si>
    <t>WRITTEN / ORAL WORKS</t>
  </si>
  <si>
    <t>PRODUCT / PERFORMANCE TASKS</t>
  </si>
  <si>
    <t>SUMMATIVE TESTS &amp; TERM EXAMINATION</t>
  </si>
  <si>
    <t>Initial Grade</t>
  </si>
  <si>
    <t>Term Grade</t>
  </si>
  <si>
    <t>Descriptor</t>
  </si>
  <si>
    <t>Remark</t>
  </si>
  <si>
    <t>Total</t>
  </si>
  <si>
    <t>PS</t>
  </si>
  <si>
    <t>Weighted</t>
  </si>
  <si>
    <t>ST1</t>
  </si>
  <si>
    <t>ST2</t>
  </si>
  <si>
    <t>TE</t>
  </si>
  <si>
    <t>HPS</t>
  </si>
  <si>
    <t>HIGHEST POSSIBLE SCORE</t>
  </si>
  <si>
    <t>TERM 2 — CLASS RECORD</t>
  </si>
  <si>
    <t>TERM 3 — CLASS RECORD</t>
  </si>
  <si>
    <t>3-TERM SUMMARY OF GRADES</t>
  </si>
  <si>
    <t>TERM 1</t>
  </si>
  <si>
    <t>TERM 2</t>
  </si>
  <si>
    <t>TERM 3</t>
  </si>
  <si>
    <t>FINAL GRADE</t>
  </si>
  <si>
    <t>DESCRIPTOR</t>
  </si>
  <si>
    <t>REMARK</t>
  </si>
  <si>
    <t>DEPED 3-TERM GRADING SETTINGS</t>
  </si>
  <si>
    <t>Written / Oral Works</t>
  </si>
  <si>
    <t>Product / Performance Tasks</t>
  </si>
  <si>
    <t>Summative Tests &amp; Term Exam</t>
  </si>
  <si>
    <t>Numerical Grade</t>
  </si>
  <si>
    <t>Emerging (Nagsisimula)</t>
  </si>
  <si>
    <t>EPP / TLE / MAPEH</t>
  </si>
  <si>
    <t>Developing (Napauunlad)</t>
  </si>
  <si>
    <t>SHS Core / Other Academic Electives</t>
  </si>
  <si>
    <t>Connecting (Natutungo)</t>
  </si>
  <si>
    <t>SHS Field Exposure / Arts Apprenticeship / Creative Production</t>
  </si>
  <si>
    <t>Benchmarking (Napamamalas)</t>
  </si>
  <si>
    <t>SHS Arts / Sports / Health &amp; Wellness Electives</t>
  </si>
  <si>
    <t>Advancing (Namumukod-tangi)</t>
  </si>
  <si>
    <t>SHS Research Electives / Design &amp; Innovation</t>
  </si>
  <si>
    <t>SHS TechPro Electives</t>
  </si>
  <si>
    <t>SHS Work Immersion</t>
  </si>
  <si>
    <t>Important</t>
  </si>
  <si>
    <t>INITIAL GRADE LOWER BOUND</t>
  </si>
  <si>
    <t>RANGE NOTE</t>
  </si>
  <si>
    <t>TRANSMUTED GRADE</t>
  </si>
  <si>
    <t>The adjusted transmutation table below follows the ranges shown in the supplied reference. The default passing grade is 75.</t>
  </si>
  <si>
    <t>0.00–39.99</t>
  </si>
  <si>
    <t>40.00–42.99</t>
  </si>
  <si>
    <t>43.00–45.99</t>
  </si>
  <si>
    <t>46.00–47.99</t>
  </si>
  <si>
    <t>48.00–49.99</t>
  </si>
  <si>
    <t>50.00–51.99</t>
  </si>
  <si>
    <t>52.00–53.99</t>
  </si>
  <si>
    <t>54.00–55.99</t>
  </si>
  <si>
    <t>56.00–57.99</t>
  </si>
  <si>
    <t>58.00–59.99</t>
  </si>
  <si>
    <t>60.00–61.99</t>
  </si>
  <si>
    <t>62.00–63.99</t>
  </si>
  <si>
    <t>64.00–65.99</t>
  </si>
  <si>
    <t>66.00–67.99</t>
  </si>
  <si>
    <t>68.00–69.99</t>
  </si>
  <si>
    <t>70.00–72.99</t>
  </si>
  <si>
    <t>73.00–74.99</t>
  </si>
  <si>
    <t>75.00–75.99</t>
  </si>
  <si>
    <t>76.00–76.99</t>
  </si>
  <si>
    <t>77.00–77.99</t>
  </si>
  <si>
    <t>78.00–78.99</t>
  </si>
  <si>
    <t>79.00–79.99</t>
  </si>
  <si>
    <t>80.00–80.99</t>
  </si>
  <si>
    <t>81.00–81.99</t>
  </si>
  <si>
    <t>82.00–82.99</t>
  </si>
  <si>
    <t>83.00–83.99</t>
  </si>
  <si>
    <t>84.00–84.99</t>
  </si>
  <si>
    <t>85.00–85.99</t>
  </si>
  <si>
    <t>86.00–86.99</t>
  </si>
  <si>
    <t>87.00–87.99</t>
  </si>
  <si>
    <t>88.00–88.99</t>
  </si>
  <si>
    <t>89.00–89.99</t>
  </si>
  <si>
    <t>90.00–90.99</t>
  </si>
  <si>
    <t>91.00–91.99</t>
  </si>
  <si>
    <t>92.00–92.99</t>
  </si>
  <si>
    <t>93.00–93.99</t>
  </si>
  <si>
    <t>94.00–94.99</t>
  </si>
  <si>
    <t>95.00–95.99</t>
  </si>
  <si>
    <t>96.00–97.49</t>
  </si>
  <si>
    <t>97.50–99.49</t>
  </si>
  <si>
    <t>99.50–100.00</t>
  </si>
  <si>
    <t>TEACHER GUIDE — 3-TERM GRADING WORKBOOK</t>
  </si>
  <si>
    <t>Purpose</t>
  </si>
  <si>
    <t>Editable Excel class record for the DepEd three-term grading structure reflected in the supplied reference.</t>
  </si>
  <si>
    <t>Default weights</t>
  </si>
  <si>
    <t>Common learning areas: WWs 20%, PTs 50%, STs/TE 30%. EPP/TLE/MAPEH and SHS groups are also listed in SETTINGS.</t>
  </si>
  <si>
    <t>Term structure</t>
  </si>
  <si>
    <t>Standard file: 5 Written/Oral Works + 3 Performance Tasks + ST1 + ST2 + Term Examination.</t>
  </si>
  <si>
    <t>Expanded file</t>
  </si>
  <si>
    <t>Expanded file: 10 Written/Oral Works + 5 Performance Tasks + ST1 + ST2 + Term Examination.</t>
  </si>
  <si>
    <t>Computation</t>
  </si>
  <si>
    <t>Each component is converted to a percentage score, multiplied by its assigned weight, then added to produce the Initial Grade.</t>
  </si>
  <si>
    <t>Transmutation</t>
  </si>
  <si>
    <t>The adjusted transmutation ranges in the supplied image are encoded in SETTINGS. The resulting Term Grade is the transmuted grade.</t>
  </si>
  <si>
    <t>Descriptors</t>
  </si>
  <si>
    <t>90–100 Advancing; 80–89 Benchmarking; 75–79 Connecting; 65–74 Developing; 0–64 Emerging.</t>
  </si>
  <si>
    <t>Promotion / intervention</t>
  </si>
  <si>
    <t>The workbook flags a term/final result below 75 as INTERVENTION. Promotion decisions should still follow the current official DepEd rules and school policy.</t>
  </si>
  <si>
    <t>Data entry</t>
  </si>
  <si>
    <t>Blue cells are intended for teacher input. Change HPS in row 9 of each term if your actual assessment scores use different maximum points.</t>
  </si>
  <si>
    <t>Best practice</t>
  </si>
  <si>
    <t>Keep a backup copy before major edits, and verify the completed class record against your school's official forms before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</si>
</sst>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1"/>
      <color rgb="FF1F2937"/>
      <name val="Cambria"/>
      <charset val="1"/>
    </font>
    <font>
      <b/>
      <sz val="10"/>
      <color rgb="FFFFFFFF"/>
      <name val="Cambria"/>
      <family val="1"/>
    </font>
    <font>
      <b/>
      <sz val="11"/>
      <name val="Cambria"/>
      <family val="1"/>
    </font>
    <font>
      <sz val="10"/>
      <color theme="1"/>
      <name val="Calibri"/>
      <family val="2"/>
      <charset val="1"/>
    </font>
    <font>
      <b/>
      <sz val="8"/>
      <color rgb="FFFFFFFF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D9EAD3"/>
      </patternFill>
    </fill>
    <fill>
      <patternFill patternType="solid">
        <fgColor rgb="FFC9A227"/>
        <bgColor rgb="FF99CC00"/>
      </patternFill>
    </fill>
    <fill>
      <patternFill patternType="solid">
        <fgColor rgb="FFF3F6F9"/>
        <bgColor rgb="FFFFFFFF"/>
      </patternFill>
    </fill>
    <fill>
      <patternFill patternType="solid">
        <fgColor rgb="FFF7EBC6"/>
        <bgColor rgb="FFD9EAD3"/>
      </patternFill>
    </fill>
  </fills>
  <borders count="38">
    <border>
      <left/>
      <right/>
      <top/>
      <bottom/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7C3D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0" xfId="0" applyFont="1" applyFill="1"/>
    <xf numFmtId="0" fontId="4" fillId="4" borderId="0" xfId="0" applyFont="1" applyFill="1" applyAlignment="1">
      <alignment horizont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/>
    <xf numFmtId="0" fontId="0" fillId="0" borderId="2" xfId="0" applyBorder="1" applyAlignment="1">
      <alignment horizontal="center" vertical="center" wrapText="1"/>
    </xf>
    <xf numFmtId="0" fontId="5" fillId="4" borderId="0" xfId="0" applyFont="1" applyFill="1" applyAlignment="1">
      <alignment horizontal="center" wrapText="1"/>
    </xf>
    <xf numFmtId="0" fontId="4" fillId="4" borderId="0" xfId="0" applyFont="1" applyFill="1"/>
    <xf numFmtId="0" fontId="0" fillId="0" borderId="2" xfId="0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6" borderId="3" xfId="0" applyFont="1" applyFill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/>
    </xf>
    <xf numFmtId="1" fontId="0" fillId="0" borderId="3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1" fontId="0" fillId="0" borderId="5" xfId="0" applyNumberForma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0" fillId="3" borderId="1" xfId="0" applyFill="1" applyBorder="1"/>
    <xf numFmtId="0" fontId="3" fillId="2" borderId="0" xfId="0" applyFon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3" borderId="1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6" borderId="11" xfId="0" applyFont="1" applyFill="1" applyBorder="1"/>
    <xf numFmtId="0" fontId="4" fillId="6" borderId="12" xfId="0" applyFont="1" applyFill="1" applyBorder="1"/>
    <xf numFmtId="2" fontId="0" fillId="3" borderId="14" xfId="0" applyNumberFormat="1" applyFill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3" borderId="5" xfId="0" applyNumberForma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4" fillId="6" borderId="13" xfId="0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2" fillId="2" borderId="26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6" borderId="29" xfId="0" applyFont="1" applyFill="1" applyBorder="1"/>
    <xf numFmtId="2" fontId="0" fillId="3" borderId="28" xfId="0" applyNumberFormat="1" applyFill="1" applyBorder="1" applyAlignment="1">
      <alignment horizontal="center" vertical="center" wrapText="1"/>
    </xf>
    <xf numFmtId="2" fontId="0" fillId="3" borderId="30" xfId="0" applyNumberFormat="1" applyFill="1" applyBorder="1" applyAlignment="1">
      <alignment horizontal="center" vertical="center" wrapText="1"/>
    </xf>
    <xf numFmtId="2" fontId="0" fillId="3" borderId="29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9" fontId="4" fillId="6" borderId="34" xfId="0" applyNumberFormat="1" applyFont="1" applyFill="1" applyBorder="1"/>
    <xf numFmtId="2" fontId="0" fillId="0" borderId="33" xfId="0" applyNumberFormat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2" fontId="0" fillId="0" borderId="34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4" fillId="6" borderId="15" xfId="0" applyNumberFormat="1" applyFont="1" applyFill="1" applyBorder="1"/>
    <xf numFmtId="2" fontId="0" fillId="3" borderId="9" xfId="0" applyNumberFormat="1" applyFill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2" fontId="0" fillId="3" borderId="13" xfId="0" applyNumberForma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/>
    </xf>
    <xf numFmtId="9" fontId="4" fillId="6" borderId="12" xfId="0" applyNumberFormat="1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30" xfId="0" applyFont="1" applyFill="1" applyBorder="1"/>
    <xf numFmtId="0" fontId="2" fillId="2" borderId="35" xfId="0" applyFont="1" applyFill="1" applyBorder="1" applyAlignment="1">
      <alignment horizontal="center" vertical="center" wrapText="1"/>
    </xf>
    <xf numFmtId="9" fontId="4" fillId="6" borderId="35" xfId="0" applyNumberFormat="1" applyFont="1" applyFill="1" applyBorder="1"/>
    <xf numFmtId="9" fontId="4" fillId="6" borderId="12" xfId="0" applyNumberFormat="1" applyFont="1" applyFill="1" applyBorder="1"/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7EBC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J38"/>
  <sheetViews>
    <sheetView zoomScaleNormal="100" workbookViewId="0">
      <pane ySplit="8" topLeftCell="A30" activePane="bottomLeft" state="frozen"/>
      <selection pane="bottomLeft" activeCell="B40" sqref="B40"/>
    </sheetView>
  </sheetViews>
  <sheetFormatPr defaultColWidth="8.7109375" defaultRowHeight="15" customHeight="1" x14ac:dyDescent="0.25"/>
  <cols>
    <col min="1" max="1" width="10.7109375" bestFit="1" customWidth="1"/>
    <col min="2" max="2" width="30" customWidth="1"/>
    <col min="3" max="3" width="10" customWidth="1"/>
    <col min="4" max="4" width="22" customWidth="1"/>
    <col min="5" max="5" width="3" customWidth="1"/>
    <col min="6" max="7" width="18" customWidth="1"/>
    <col min="8" max="8" width="20" customWidth="1"/>
    <col min="9" max="10" width="18" customWidth="1"/>
  </cols>
  <sheetData>
    <row r="1" spans="1:10" ht="27.7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3" spans="1:10" x14ac:dyDescent="0.25">
      <c r="A3" s="1" t="s">
        <v>1</v>
      </c>
      <c r="B3" s="37"/>
      <c r="C3" s="37"/>
      <c r="D3" s="1" t="s">
        <v>2</v>
      </c>
      <c r="E3" s="37"/>
      <c r="F3" s="37"/>
      <c r="G3" s="1" t="s">
        <v>3</v>
      </c>
      <c r="H3" s="47"/>
      <c r="I3" s="48"/>
      <c r="J3" s="48"/>
    </row>
    <row r="4" spans="1:10" x14ac:dyDescent="0.25">
      <c r="A4" s="1" t="s">
        <v>4</v>
      </c>
      <c r="B4" s="37"/>
      <c r="C4" s="37"/>
      <c r="D4" s="1" t="s">
        <v>5</v>
      </c>
      <c r="E4" s="37"/>
      <c r="F4" s="37"/>
      <c r="G4" s="1" t="s">
        <v>6</v>
      </c>
      <c r="H4" s="47" t="s">
        <v>7</v>
      </c>
      <c r="I4" s="48"/>
      <c r="J4" s="48"/>
    </row>
    <row r="5" spans="1:10" x14ac:dyDescent="0.25">
      <c r="A5" s="1" t="s">
        <v>8</v>
      </c>
      <c r="B5" s="37"/>
      <c r="C5" s="37"/>
      <c r="D5" s="1" t="s">
        <v>9</v>
      </c>
      <c r="E5" s="37"/>
      <c r="F5" s="37"/>
      <c r="G5" s="1" t="s">
        <v>10</v>
      </c>
      <c r="H5" s="49" t="s">
        <v>11</v>
      </c>
      <c r="I5" s="50"/>
      <c r="J5" s="50"/>
    </row>
    <row r="7" spans="1:10" ht="15.75" x14ac:dyDescent="0.25">
      <c r="A7" s="38" t="s">
        <v>12</v>
      </c>
      <c r="B7" s="38"/>
      <c r="C7" s="38"/>
      <c r="D7" s="38"/>
      <c r="F7" s="38" t="s">
        <v>13</v>
      </c>
      <c r="G7" s="38"/>
      <c r="H7" s="38"/>
      <c r="I7" s="38"/>
      <c r="J7" s="38"/>
    </row>
    <row r="8" spans="1:10" ht="15" customHeight="1" x14ac:dyDescent="0.25">
      <c r="A8" s="2" t="s">
        <v>14</v>
      </c>
      <c r="B8" s="2" t="s">
        <v>15</v>
      </c>
      <c r="C8" s="2" t="s">
        <v>16</v>
      </c>
      <c r="D8" s="2" t="s">
        <v>17</v>
      </c>
      <c r="F8" s="36" t="s">
        <v>18</v>
      </c>
      <c r="G8" s="36"/>
      <c r="H8" s="36"/>
      <c r="I8" s="36"/>
      <c r="J8" s="36"/>
    </row>
    <row r="9" spans="1:10" ht="28.35" customHeight="1" x14ac:dyDescent="0.25">
      <c r="A9" s="12">
        <v>1</v>
      </c>
      <c r="B9" s="4"/>
      <c r="C9" s="4" t="s">
        <v>19</v>
      </c>
      <c r="D9" s="3"/>
      <c r="F9" s="36" t="s">
        <v>20</v>
      </c>
      <c r="G9" s="36"/>
      <c r="H9" s="36"/>
      <c r="I9" s="36"/>
      <c r="J9" s="36"/>
    </row>
    <row r="10" spans="1:10" ht="15" customHeight="1" x14ac:dyDescent="0.25">
      <c r="A10" s="12">
        <v>2</v>
      </c>
      <c r="B10" s="4"/>
      <c r="C10" s="4" t="s">
        <v>19</v>
      </c>
      <c r="D10" s="3"/>
      <c r="F10" s="36" t="s">
        <v>21</v>
      </c>
      <c r="G10" s="36"/>
      <c r="H10" s="36"/>
      <c r="I10" s="36"/>
      <c r="J10" s="36"/>
    </row>
    <row r="11" spans="1:10" ht="15" customHeight="1" x14ac:dyDescent="0.25">
      <c r="A11" s="12">
        <v>3</v>
      </c>
      <c r="B11" s="4"/>
      <c r="C11" s="4" t="s">
        <v>19</v>
      </c>
      <c r="D11" s="3"/>
      <c r="F11" s="36" t="s">
        <v>22</v>
      </c>
      <c r="G11" s="36"/>
      <c r="H11" s="36"/>
      <c r="I11" s="36"/>
      <c r="J11" s="36"/>
    </row>
    <row r="12" spans="1:10" ht="15" customHeight="1" x14ac:dyDescent="0.25">
      <c r="A12" s="12">
        <v>4</v>
      </c>
      <c r="B12" s="4"/>
      <c r="C12" s="4" t="s">
        <v>19</v>
      </c>
      <c r="D12" s="3"/>
      <c r="F12" s="36" t="s">
        <v>23</v>
      </c>
      <c r="G12" s="36"/>
      <c r="H12" s="36"/>
      <c r="I12" s="36"/>
      <c r="J12" s="36"/>
    </row>
    <row r="13" spans="1:10" ht="15" customHeight="1" x14ac:dyDescent="0.25">
      <c r="A13" s="12">
        <v>5</v>
      </c>
      <c r="B13" s="4"/>
      <c r="C13" s="4" t="s">
        <v>19</v>
      </c>
      <c r="D13" s="3"/>
      <c r="F13" s="36" t="s">
        <v>24</v>
      </c>
      <c r="G13" s="36"/>
      <c r="H13" s="36"/>
      <c r="I13" s="36"/>
      <c r="J13" s="36"/>
    </row>
    <row r="14" spans="1:10" x14ac:dyDescent="0.25">
      <c r="A14" s="12">
        <v>6</v>
      </c>
      <c r="B14" s="4"/>
      <c r="C14" s="4" t="s">
        <v>19</v>
      </c>
      <c r="D14" s="3"/>
    </row>
    <row r="15" spans="1:10" x14ac:dyDescent="0.25">
      <c r="A15" s="12">
        <v>7</v>
      </c>
      <c r="B15" s="4"/>
      <c r="C15" s="4" t="s">
        <v>19</v>
      </c>
      <c r="D15" s="3"/>
    </row>
    <row r="16" spans="1:10" x14ac:dyDescent="0.25">
      <c r="A16" s="12">
        <v>8</v>
      </c>
      <c r="B16" s="4"/>
      <c r="C16" s="4" t="s">
        <v>19</v>
      </c>
      <c r="D16" s="3"/>
    </row>
    <row r="17" spans="1:4" x14ac:dyDescent="0.25">
      <c r="A17" s="12">
        <v>9</v>
      </c>
      <c r="B17" s="4"/>
      <c r="C17" s="4" t="s">
        <v>19</v>
      </c>
      <c r="D17" s="3"/>
    </row>
    <row r="18" spans="1:4" x14ac:dyDescent="0.25">
      <c r="A18" s="12">
        <v>10</v>
      </c>
      <c r="B18" s="4"/>
      <c r="C18" s="4" t="s">
        <v>19</v>
      </c>
      <c r="D18" s="3"/>
    </row>
    <row r="19" spans="1:4" x14ac:dyDescent="0.25">
      <c r="A19" s="12">
        <v>11</v>
      </c>
      <c r="B19" s="4"/>
      <c r="C19" s="4" t="s">
        <v>19</v>
      </c>
      <c r="D19" s="3"/>
    </row>
    <row r="20" spans="1:4" x14ac:dyDescent="0.25">
      <c r="A20" s="12">
        <v>12</v>
      </c>
      <c r="B20" s="4"/>
      <c r="C20" s="4" t="s">
        <v>19</v>
      </c>
      <c r="D20" s="3"/>
    </row>
    <row r="21" spans="1:4" x14ac:dyDescent="0.25">
      <c r="A21" s="12">
        <v>13</v>
      </c>
      <c r="B21" s="4"/>
      <c r="C21" s="4" t="s">
        <v>19</v>
      </c>
      <c r="D21" s="3"/>
    </row>
    <row r="22" spans="1:4" x14ac:dyDescent="0.25">
      <c r="A22" s="12">
        <v>14</v>
      </c>
      <c r="B22" s="4"/>
      <c r="C22" s="4" t="s">
        <v>19</v>
      </c>
      <c r="D22" s="3"/>
    </row>
    <row r="23" spans="1:4" x14ac:dyDescent="0.25">
      <c r="A23" s="12">
        <v>15</v>
      </c>
      <c r="B23" s="4"/>
      <c r="C23" s="4" t="s">
        <v>19</v>
      </c>
      <c r="D23" s="3"/>
    </row>
    <row r="24" spans="1:4" x14ac:dyDescent="0.25">
      <c r="A24" s="12">
        <v>16</v>
      </c>
      <c r="B24" s="4"/>
      <c r="C24" s="4" t="s">
        <v>19</v>
      </c>
      <c r="D24" s="3"/>
    </row>
    <row r="25" spans="1:4" x14ac:dyDescent="0.25">
      <c r="A25" s="12">
        <v>17</v>
      </c>
      <c r="B25" s="4"/>
      <c r="C25" s="4" t="s">
        <v>19</v>
      </c>
      <c r="D25" s="3"/>
    </row>
    <row r="26" spans="1:4" x14ac:dyDescent="0.25">
      <c r="A26" s="12">
        <v>18</v>
      </c>
      <c r="B26" s="4"/>
      <c r="C26" s="4" t="s">
        <v>19</v>
      </c>
      <c r="D26" s="3"/>
    </row>
    <row r="27" spans="1:4" x14ac:dyDescent="0.25">
      <c r="A27" s="12">
        <v>19</v>
      </c>
      <c r="B27" s="4"/>
      <c r="C27" s="4" t="s">
        <v>19</v>
      </c>
      <c r="D27" s="3"/>
    </row>
    <row r="28" spans="1:4" x14ac:dyDescent="0.25">
      <c r="A28" s="12">
        <v>20</v>
      </c>
      <c r="B28" s="4"/>
      <c r="C28" s="4" t="s">
        <v>19</v>
      </c>
      <c r="D28" s="3"/>
    </row>
    <row r="29" spans="1:4" x14ac:dyDescent="0.25">
      <c r="A29" s="12">
        <v>21</v>
      </c>
      <c r="B29" s="4"/>
      <c r="C29" s="4" t="s">
        <v>25</v>
      </c>
      <c r="D29" s="3"/>
    </row>
    <row r="30" spans="1:4" x14ac:dyDescent="0.25">
      <c r="A30" s="12">
        <v>22</v>
      </c>
      <c r="B30" s="4"/>
      <c r="C30" s="4" t="s">
        <v>25</v>
      </c>
      <c r="D30" s="3"/>
    </row>
    <row r="31" spans="1:4" x14ac:dyDescent="0.25">
      <c r="A31" s="12">
        <v>23</v>
      </c>
      <c r="B31" s="4"/>
      <c r="C31" s="4" t="s">
        <v>25</v>
      </c>
      <c r="D31" s="3"/>
    </row>
    <row r="32" spans="1:4" x14ac:dyDescent="0.25">
      <c r="A32" s="12">
        <v>24</v>
      </c>
      <c r="B32" s="4"/>
      <c r="C32" s="4" t="s">
        <v>25</v>
      </c>
      <c r="D32" s="3"/>
    </row>
    <row r="33" spans="1:4" x14ac:dyDescent="0.25">
      <c r="A33" s="12">
        <v>25</v>
      </c>
      <c r="B33" s="4"/>
      <c r="C33" s="4" t="s">
        <v>25</v>
      </c>
      <c r="D33" s="3"/>
    </row>
    <row r="34" spans="1:4" x14ac:dyDescent="0.25">
      <c r="A34" s="12">
        <v>26</v>
      </c>
      <c r="B34" s="4"/>
      <c r="C34" s="4" t="s">
        <v>25</v>
      </c>
      <c r="D34" s="3"/>
    </row>
    <row r="35" spans="1:4" x14ac:dyDescent="0.25">
      <c r="A35" s="12">
        <v>27</v>
      </c>
      <c r="B35" s="4"/>
      <c r="C35" s="4" t="s">
        <v>25</v>
      </c>
      <c r="D35" s="3"/>
    </row>
    <row r="36" spans="1:4" x14ac:dyDescent="0.25">
      <c r="A36" s="12">
        <v>28</v>
      </c>
      <c r="B36" s="4"/>
      <c r="C36" s="4" t="s">
        <v>25</v>
      </c>
      <c r="D36" s="3"/>
    </row>
    <row r="37" spans="1:4" x14ac:dyDescent="0.25">
      <c r="A37" s="12">
        <v>29</v>
      </c>
      <c r="B37" s="4"/>
      <c r="C37" s="4" t="s">
        <v>25</v>
      </c>
      <c r="D37" s="3"/>
    </row>
    <row r="38" spans="1:4" x14ac:dyDescent="0.25">
      <c r="A38" s="12">
        <v>30</v>
      </c>
      <c r="B38" s="4"/>
      <c r="C38" s="4" t="s">
        <v>25</v>
      </c>
      <c r="D38" s="3"/>
    </row>
  </sheetData>
  <mergeCells count="18">
    <mergeCell ref="A1:J1"/>
    <mergeCell ref="B3:C3"/>
    <mergeCell ref="E3:F3"/>
    <mergeCell ref="B4:C4"/>
    <mergeCell ref="E4:F4"/>
    <mergeCell ref="H3:J3"/>
    <mergeCell ref="H4:J4"/>
    <mergeCell ref="B5:C5"/>
    <mergeCell ref="E5:F5"/>
    <mergeCell ref="A7:D7"/>
    <mergeCell ref="F7:J7"/>
    <mergeCell ref="H5:J5"/>
    <mergeCell ref="F13:J13"/>
    <mergeCell ref="F8:J8"/>
    <mergeCell ref="F9:J9"/>
    <mergeCell ref="F10:J10"/>
    <mergeCell ref="F11:J11"/>
    <mergeCell ref="F12:J12"/>
  </mergeCells>
  <dataValidations count="1">
    <dataValidation type="list" allowBlank="1" sqref="C9:C38" xr:uid="{00000000-0002-0000-0000-000001000000}">
      <formula1>"M,F"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SETTINGS!$A$4:$A$11</xm:f>
          </x14:formula1>
          <x14:formula2>
            <xm:f>0</xm:f>
          </x14:formula2>
          <xm:sqref>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pageSetUpPr fitToPage="1"/>
  </sheetPr>
  <dimension ref="A1:AJ39"/>
  <sheetViews>
    <sheetView showGridLines="0" zoomScale="70" zoomScaleNormal="70" workbookViewId="0">
      <pane xSplit="2" ySplit="9" topLeftCell="R19" activePane="bottomRight" state="frozen"/>
      <selection pane="topRight" activeCell="C1" sqref="C1"/>
      <selection pane="bottomLeft" activeCell="A10" sqref="A10"/>
      <selection pane="bottomRight" activeCell="AF23" sqref="AF23"/>
    </sheetView>
  </sheetViews>
  <sheetFormatPr defaultColWidth="8.7109375" defaultRowHeight="15" customHeight="1" x14ac:dyDescent="0.25"/>
  <cols>
    <col min="1" max="1" width="8" bestFit="1" customWidth="1"/>
    <col min="2" max="2" width="48" bestFit="1" customWidth="1"/>
    <col min="3" max="12" width="8" customWidth="1"/>
    <col min="13" max="15" width="10" customWidth="1"/>
    <col min="16" max="20" width="9" customWidth="1"/>
    <col min="21" max="23" width="10" customWidth="1"/>
    <col min="24" max="26" width="9" customWidth="1"/>
    <col min="27" max="29" width="10" customWidth="1"/>
    <col min="30" max="31" width="12" customWidth="1"/>
    <col min="32" max="32" width="28" customWidth="1"/>
    <col min="33" max="33" width="16" customWidth="1"/>
  </cols>
  <sheetData>
    <row r="1" spans="1:36" ht="27.75" customHeight="1" x14ac:dyDescent="0.25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3" spans="1:36" x14ac:dyDescent="0.25">
      <c r="A3" s="51" t="s">
        <v>27</v>
      </c>
      <c r="B3" s="53">
        <f>INPUT!H3</f>
        <v>0</v>
      </c>
      <c r="C3" s="53"/>
      <c r="D3" s="41" t="s">
        <v>6</v>
      </c>
      <c r="E3" s="42" t="str">
        <f>INPUT!H4</f>
        <v>Grade 7 – Section A</v>
      </c>
      <c r="F3" s="42"/>
      <c r="G3" s="41" t="s">
        <v>8</v>
      </c>
      <c r="H3" s="43">
        <f>INPUT!B5</f>
        <v>0</v>
      </c>
      <c r="I3" s="43"/>
      <c r="J3" s="41" t="s">
        <v>9</v>
      </c>
      <c r="K3" s="43">
        <f>INPUT!E5</f>
        <v>0</v>
      </c>
      <c r="L3" s="43"/>
      <c r="M3" s="44" t="s">
        <v>10</v>
      </c>
      <c r="N3" s="42" t="str">
        <f>INPUT!H5</f>
        <v>AP / English / Filipino / Mathematics / Science / GMRC / Values Education</v>
      </c>
      <c r="O3" s="42"/>
      <c r="P3" s="42"/>
      <c r="Q3" s="42"/>
      <c r="R3" s="42"/>
      <c r="S3" s="42"/>
      <c r="T3" s="42"/>
      <c r="U3" s="42"/>
    </row>
    <row r="4" spans="1:36" ht="15" customHeight="1" x14ac:dyDescent="0.25">
      <c r="A4" s="51"/>
      <c r="B4" s="53"/>
      <c r="C4" s="53"/>
      <c r="D4" s="41"/>
      <c r="E4" s="42"/>
      <c r="F4" s="42"/>
      <c r="G4" s="41"/>
      <c r="H4" s="43"/>
      <c r="I4" s="43"/>
      <c r="J4" s="41"/>
      <c r="K4" s="43"/>
      <c r="L4" s="43"/>
      <c r="M4" s="44"/>
      <c r="N4" s="42"/>
      <c r="O4" s="42"/>
      <c r="P4" s="42"/>
      <c r="Q4" s="42"/>
      <c r="R4" s="42"/>
      <c r="S4" s="42"/>
      <c r="T4" s="42"/>
      <c r="U4" s="42"/>
    </row>
    <row r="5" spans="1:36" ht="15" customHeight="1" thickBot="1" x14ac:dyDescent="0.3"/>
    <row r="6" spans="1:36" ht="15" customHeight="1" x14ac:dyDescent="0.25">
      <c r="A6" s="55" t="s">
        <v>14</v>
      </c>
      <c r="B6" s="57" t="s">
        <v>15</v>
      </c>
      <c r="C6" s="55" t="s">
        <v>28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  <c r="P6" s="55" t="s">
        <v>29</v>
      </c>
      <c r="Q6" s="56"/>
      <c r="R6" s="56"/>
      <c r="S6" s="56"/>
      <c r="T6" s="56"/>
      <c r="U6" s="56"/>
      <c r="V6" s="56"/>
      <c r="W6" s="57"/>
      <c r="X6" s="55" t="s">
        <v>30</v>
      </c>
      <c r="Y6" s="56"/>
      <c r="Z6" s="56"/>
      <c r="AA6" s="56"/>
      <c r="AB6" s="56"/>
      <c r="AC6" s="57"/>
      <c r="AD6" s="55" t="s">
        <v>31</v>
      </c>
      <c r="AE6" s="56" t="s">
        <v>32</v>
      </c>
      <c r="AF6" s="56" t="s">
        <v>33</v>
      </c>
      <c r="AG6" s="57" t="s">
        <v>34</v>
      </c>
    </row>
    <row r="7" spans="1:36" x14ac:dyDescent="0.25">
      <c r="A7" s="58"/>
      <c r="B7" s="59"/>
      <c r="C7" s="86">
        <v>1</v>
      </c>
      <c r="D7" s="39">
        <v>2</v>
      </c>
      <c r="E7" s="39">
        <v>3</v>
      </c>
      <c r="F7" s="39">
        <v>4</v>
      </c>
      <c r="G7" s="39">
        <v>5</v>
      </c>
      <c r="H7" s="39">
        <v>6</v>
      </c>
      <c r="I7" s="39">
        <v>7</v>
      </c>
      <c r="J7" s="39">
        <v>8</v>
      </c>
      <c r="K7" s="39">
        <v>9</v>
      </c>
      <c r="L7" s="39">
        <v>10</v>
      </c>
      <c r="M7" s="39" t="s">
        <v>35</v>
      </c>
      <c r="N7" s="39" t="s">
        <v>36</v>
      </c>
      <c r="O7" s="87" t="s">
        <v>37</v>
      </c>
      <c r="P7" s="86">
        <v>1</v>
      </c>
      <c r="Q7" s="39">
        <v>2</v>
      </c>
      <c r="R7" s="39">
        <v>3</v>
      </c>
      <c r="S7" s="39">
        <v>4</v>
      </c>
      <c r="T7" s="39">
        <v>5</v>
      </c>
      <c r="U7" s="39" t="s">
        <v>35</v>
      </c>
      <c r="V7" s="39" t="s">
        <v>36</v>
      </c>
      <c r="W7" s="87" t="s">
        <v>37</v>
      </c>
      <c r="X7" s="86" t="s">
        <v>38</v>
      </c>
      <c r="Y7" s="39" t="s">
        <v>39</v>
      </c>
      <c r="Z7" s="39" t="s">
        <v>40</v>
      </c>
      <c r="AA7" s="39" t="s">
        <v>35</v>
      </c>
      <c r="AB7" s="39" t="s">
        <v>36</v>
      </c>
      <c r="AC7" s="87" t="s">
        <v>37</v>
      </c>
      <c r="AD7" s="58"/>
      <c r="AE7" s="45"/>
      <c r="AF7" s="45"/>
      <c r="AG7" s="59"/>
    </row>
    <row r="8" spans="1:36" x14ac:dyDescent="0.25">
      <c r="A8" s="58"/>
      <c r="B8" s="59"/>
      <c r="C8" s="8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89"/>
      <c r="P8" s="88"/>
      <c r="Q8" s="40"/>
      <c r="R8" s="40"/>
      <c r="S8" s="40"/>
      <c r="T8" s="40"/>
      <c r="U8" s="40"/>
      <c r="V8" s="40"/>
      <c r="W8" s="89"/>
      <c r="X8" s="88"/>
      <c r="Y8" s="40"/>
      <c r="Z8" s="40"/>
      <c r="AA8" s="40"/>
      <c r="AB8" s="40"/>
      <c r="AC8" s="89"/>
      <c r="AD8" s="58"/>
      <c r="AE8" s="45"/>
      <c r="AF8" s="45"/>
      <c r="AG8" s="59"/>
    </row>
    <row r="9" spans="1:36" x14ac:dyDescent="0.25">
      <c r="A9" s="60" t="s">
        <v>41</v>
      </c>
      <c r="B9" s="61" t="s">
        <v>42</v>
      </c>
      <c r="C9" s="116"/>
      <c r="D9" s="18"/>
      <c r="E9" s="18"/>
      <c r="F9" s="18"/>
      <c r="G9" s="18"/>
      <c r="H9" s="18"/>
      <c r="I9" s="18"/>
      <c r="J9" s="18"/>
      <c r="K9" s="18"/>
      <c r="L9" s="18"/>
      <c r="M9" s="18">
        <f>SUM(C9:L9)</f>
        <v>0</v>
      </c>
      <c r="N9" s="18">
        <v>100</v>
      </c>
      <c r="O9" s="117">
        <f>INDEX(SETTINGS!$B$4:$B$11,MATCH(INPUT!$H$5,SETTINGS!$A$4:$A$11,0))</f>
        <v>0.2</v>
      </c>
      <c r="P9" s="116"/>
      <c r="Q9" s="18"/>
      <c r="R9" s="18"/>
      <c r="S9" s="18"/>
      <c r="T9" s="18"/>
      <c r="U9" s="18">
        <f>SUM(P9:T9)</f>
        <v>0</v>
      </c>
      <c r="V9" s="18">
        <v>100</v>
      </c>
      <c r="W9" s="117">
        <f>INDEX(SETTINGS!$C$4:$C$11,MATCH(INPUT!$H$5,SETTINGS!$A$4:$A$11,0))</f>
        <v>0.5</v>
      </c>
      <c r="X9" s="116"/>
      <c r="Y9" s="18"/>
      <c r="Z9" s="18"/>
      <c r="AA9" s="18">
        <f>SUM(X9:Z9)</f>
        <v>0</v>
      </c>
      <c r="AB9" s="18">
        <v>100</v>
      </c>
      <c r="AC9" s="117">
        <f>INDEX(SETTINGS!$D$4:$D$11,MATCH(INPUT!$H$5,SETTINGS!$A$4:$A$11,0))</f>
        <v>0.3</v>
      </c>
      <c r="AD9" s="116"/>
      <c r="AE9" s="18"/>
      <c r="AF9" s="18"/>
      <c r="AG9" s="118"/>
    </row>
    <row r="10" spans="1:36" x14ac:dyDescent="0.25">
      <c r="A10" s="28">
        <v>1</v>
      </c>
      <c r="B10" s="77">
        <f>INPUT!B9</f>
        <v>0</v>
      </c>
      <c r="C10" s="93"/>
      <c r="D10" s="16"/>
      <c r="E10" s="16"/>
      <c r="F10" s="16"/>
      <c r="G10" s="16"/>
      <c r="H10" s="16"/>
      <c r="I10" s="16"/>
      <c r="J10" s="16"/>
      <c r="K10" s="16"/>
      <c r="L10" s="16"/>
      <c r="M10" s="17" t="str">
        <f t="shared" ref="M10:M39" si="0">IF(COUNT(C10:L10)=0,"",SUM(C10:L10))</f>
        <v/>
      </c>
      <c r="N10" s="17" t="str">
        <f t="shared" ref="N10:N39" si="1">IFERROR(M10/M$9*100,"")</f>
        <v/>
      </c>
      <c r="O10" s="94" t="str">
        <f t="shared" ref="O10:O39" si="2">IF(N10="","",ROUND(N10*O$9,2))</f>
        <v/>
      </c>
      <c r="P10" s="93"/>
      <c r="Q10" s="16"/>
      <c r="R10" s="16"/>
      <c r="S10" s="16"/>
      <c r="T10" s="16"/>
      <c r="U10" s="17" t="str">
        <f t="shared" ref="U10:U39" si="3">IF(COUNT(P10:T10)=0,"",SUM(P10:T10))</f>
        <v/>
      </c>
      <c r="V10" s="17" t="str">
        <f t="shared" ref="V10:V39" si="4">IFERROR(U10/U$9*100,"")</f>
        <v/>
      </c>
      <c r="W10" s="94" t="str">
        <f t="shared" ref="W10:W39" si="5">IF(V10="","",ROUND(V10*W$9,2))</f>
        <v/>
      </c>
      <c r="X10" s="93"/>
      <c r="Y10" s="16"/>
      <c r="Z10" s="16"/>
      <c r="AA10" s="17" t="str">
        <f t="shared" ref="AA10:AA39" si="6">IF(COUNT(X10:Z10)=0,"",SUM(X10:Z10))</f>
        <v/>
      </c>
      <c r="AB10" s="17" t="str">
        <f t="shared" ref="AB10:AB39" si="7">IFERROR(AA10/AA$9*100,"")</f>
        <v/>
      </c>
      <c r="AC10" s="94" t="str">
        <f t="shared" ref="AC10:AC39" si="8">IF(AB10="","",ROUND(AB10*AC$9,2))</f>
        <v/>
      </c>
      <c r="AD10" s="99" t="str">
        <f t="shared" ref="AD10:AD39" si="9">IF(COUNT(O10,W10,AC10)=0,"",ROUND(SUM(O10,W10,AC10),2))</f>
        <v/>
      </c>
      <c r="AE10" s="17" t="str">
        <f>IF(AD10="","",LOOKUP(AD10,SETTINGS!$F$16:$F$56,SETTINGS!$H$16:$H$56))</f>
        <v/>
      </c>
      <c r="AF10" s="14" t="str">
        <f>IF(AE10="","",LOOKUP(AE10,SETTINGS!$G$4:$G$8,SETTINGS!$F$4:$F$8))</f>
        <v/>
      </c>
      <c r="AG10" s="29" t="str">
        <f t="shared" ref="AG10:AG39" si="10">IF(AE10="","",IF(AE10&gt;=75,"PASSED","INTERVENTION"))</f>
        <v/>
      </c>
    </row>
    <row r="11" spans="1:36" x14ac:dyDescent="0.25">
      <c r="A11" s="28">
        <v>2</v>
      </c>
      <c r="B11" s="77">
        <f>INPUT!B10</f>
        <v>0</v>
      </c>
      <c r="C11" s="93"/>
      <c r="D11" s="16"/>
      <c r="E11" s="16"/>
      <c r="F11" s="16"/>
      <c r="G11" s="16"/>
      <c r="H11" s="16"/>
      <c r="I11" s="16"/>
      <c r="J11" s="16"/>
      <c r="K11" s="16"/>
      <c r="L11" s="16"/>
      <c r="M11" s="17" t="str">
        <f t="shared" si="0"/>
        <v/>
      </c>
      <c r="N11" s="17" t="str">
        <f t="shared" si="1"/>
        <v/>
      </c>
      <c r="O11" s="94" t="str">
        <f t="shared" si="2"/>
        <v/>
      </c>
      <c r="P11" s="93"/>
      <c r="Q11" s="16"/>
      <c r="R11" s="16"/>
      <c r="S11" s="16"/>
      <c r="T11" s="16"/>
      <c r="U11" s="17" t="str">
        <f t="shared" si="3"/>
        <v/>
      </c>
      <c r="V11" s="17" t="str">
        <f t="shared" si="4"/>
        <v/>
      </c>
      <c r="W11" s="94" t="str">
        <f t="shared" si="5"/>
        <v/>
      </c>
      <c r="X11" s="93"/>
      <c r="Y11" s="16"/>
      <c r="Z11" s="16"/>
      <c r="AA11" s="17" t="str">
        <f t="shared" si="6"/>
        <v/>
      </c>
      <c r="AB11" s="17" t="str">
        <f t="shared" si="7"/>
        <v/>
      </c>
      <c r="AC11" s="94" t="str">
        <f t="shared" si="8"/>
        <v/>
      </c>
      <c r="AD11" s="99" t="str">
        <f t="shared" si="9"/>
        <v/>
      </c>
      <c r="AE11" s="17" t="str">
        <f>IF(AD11="","",LOOKUP(AD11,SETTINGS!$F$16:$F$56,SETTINGS!$H$16:$H$56))</f>
        <v/>
      </c>
      <c r="AF11" s="14" t="str">
        <f>IF(AE11="","",LOOKUP(AE11,SETTINGS!$G$4:$G$8,SETTINGS!$F$4:$F$8))</f>
        <v/>
      </c>
      <c r="AG11" s="29" t="str">
        <f t="shared" si="10"/>
        <v/>
      </c>
    </row>
    <row r="12" spans="1:36" x14ac:dyDescent="0.25">
      <c r="A12" s="28">
        <v>3</v>
      </c>
      <c r="B12" s="77">
        <f>INPUT!B11</f>
        <v>0</v>
      </c>
      <c r="C12" s="93"/>
      <c r="D12" s="16"/>
      <c r="E12" s="16"/>
      <c r="F12" s="16"/>
      <c r="G12" s="16"/>
      <c r="H12" s="16"/>
      <c r="I12" s="16"/>
      <c r="J12" s="16"/>
      <c r="K12" s="16"/>
      <c r="L12" s="16"/>
      <c r="M12" s="17" t="str">
        <f t="shared" si="0"/>
        <v/>
      </c>
      <c r="N12" s="17" t="str">
        <f t="shared" si="1"/>
        <v/>
      </c>
      <c r="O12" s="94" t="str">
        <f t="shared" si="2"/>
        <v/>
      </c>
      <c r="P12" s="93"/>
      <c r="Q12" s="16"/>
      <c r="R12" s="16"/>
      <c r="S12" s="16"/>
      <c r="T12" s="16"/>
      <c r="U12" s="17" t="str">
        <f t="shared" si="3"/>
        <v/>
      </c>
      <c r="V12" s="17" t="str">
        <f t="shared" si="4"/>
        <v/>
      </c>
      <c r="W12" s="94" t="str">
        <f t="shared" si="5"/>
        <v/>
      </c>
      <c r="X12" s="93"/>
      <c r="Y12" s="16"/>
      <c r="Z12" s="16"/>
      <c r="AA12" s="17" t="str">
        <f t="shared" si="6"/>
        <v/>
      </c>
      <c r="AB12" s="17" t="str">
        <f t="shared" si="7"/>
        <v/>
      </c>
      <c r="AC12" s="94" t="str">
        <f t="shared" si="8"/>
        <v/>
      </c>
      <c r="AD12" s="99" t="str">
        <f t="shared" si="9"/>
        <v/>
      </c>
      <c r="AE12" s="17" t="str">
        <f>IF(AD12="","",LOOKUP(AD12,SETTINGS!$F$16:$F$56,SETTINGS!$H$16:$H$56))</f>
        <v/>
      </c>
      <c r="AF12" s="14" t="str">
        <f>IF(AE12="","",LOOKUP(AE12,SETTINGS!$G$4:$G$8,SETTINGS!$F$4:$F$8))</f>
        <v/>
      </c>
      <c r="AG12" s="29" t="str">
        <f t="shared" si="10"/>
        <v/>
      </c>
    </row>
    <row r="13" spans="1:36" x14ac:dyDescent="0.25">
      <c r="A13" s="28">
        <v>4</v>
      </c>
      <c r="B13" s="77">
        <f>INPUT!B12</f>
        <v>0</v>
      </c>
      <c r="C13" s="93"/>
      <c r="D13" s="16"/>
      <c r="E13" s="16"/>
      <c r="F13" s="16"/>
      <c r="G13" s="16"/>
      <c r="H13" s="16"/>
      <c r="I13" s="16"/>
      <c r="J13" s="16"/>
      <c r="K13" s="16"/>
      <c r="L13" s="16"/>
      <c r="M13" s="17" t="str">
        <f t="shared" si="0"/>
        <v/>
      </c>
      <c r="N13" s="17" t="str">
        <f t="shared" si="1"/>
        <v/>
      </c>
      <c r="O13" s="94" t="str">
        <f t="shared" si="2"/>
        <v/>
      </c>
      <c r="P13" s="93"/>
      <c r="Q13" s="16"/>
      <c r="R13" s="16"/>
      <c r="S13" s="16"/>
      <c r="T13" s="16"/>
      <c r="U13" s="17" t="str">
        <f t="shared" si="3"/>
        <v/>
      </c>
      <c r="V13" s="17" t="str">
        <f t="shared" si="4"/>
        <v/>
      </c>
      <c r="W13" s="94" t="str">
        <f t="shared" si="5"/>
        <v/>
      </c>
      <c r="X13" s="93"/>
      <c r="Y13" s="16"/>
      <c r="Z13" s="16"/>
      <c r="AA13" s="17" t="str">
        <f t="shared" si="6"/>
        <v/>
      </c>
      <c r="AB13" s="17" t="str">
        <f t="shared" si="7"/>
        <v/>
      </c>
      <c r="AC13" s="94" t="str">
        <f t="shared" si="8"/>
        <v/>
      </c>
      <c r="AD13" s="99" t="str">
        <f t="shared" si="9"/>
        <v/>
      </c>
      <c r="AE13" s="17" t="str">
        <f>IF(AD13="","",LOOKUP(AD13,SETTINGS!$F$16:$F$56,SETTINGS!$H$16:$H$56))</f>
        <v/>
      </c>
      <c r="AF13" s="14" t="str">
        <f>IF(AE13="","",LOOKUP(AE13,SETTINGS!$G$4:$G$8,SETTINGS!$F$4:$F$8))</f>
        <v/>
      </c>
      <c r="AG13" s="29" t="str">
        <f t="shared" si="10"/>
        <v/>
      </c>
    </row>
    <row r="14" spans="1:36" x14ac:dyDescent="0.25">
      <c r="A14" s="28">
        <v>5</v>
      </c>
      <c r="B14" s="77">
        <f>INPUT!B13</f>
        <v>0</v>
      </c>
      <c r="C14" s="93"/>
      <c r="D14" s="16"/>
      <c r="E14" s="16"/>
      <c r="F14" s="16"/>
      <c r="G14" s="16"/>
      <c r="H14" s="16"/>
      <c r="I14" s="16"/>
      <c r="J14" s="16"/>
      <c r="K14" s="16"/>
      <c r="L14" s="16"/>
      <c r="M14" s="17" t="str">
        <f t="shared" si="0"/>
        <v/>
      </c>
      <c r="N14" s="17" t="str">
        <f t="shared" si="1"/>
        <v/>
      </c>
      <c r="O14" s="94" t="str">
        <f t="shared" si="2"/>
        <v/>
      </c>
      <c r="P14" s="93"/>
      <c r="Q14" s="16"/>
      <c r="R14" s="16"/>
      <c r="S14" s="16"/>
      <c r="T14" s="16"/>
      <c r="U14" s="17" t="str">
        <f t="shared" si="3"/>
        <v/>
      </c>
      <c r="V14" s="17" t="str">
        <f t="shared" si="4"/>
        <v/>
      </c>
      <c r="W14" s="94" t="str">
        <f t="shared" si="5"/>
        <v/>
      </c>
      <c r="X14" s="93"/>
      <c r="Y14" s="16"/>
      <c r="Z14" s="16"/>
      <c r="AA14" s="17" t="str">
        <f t="shared" si="6"/>
        <v/>
      </c>
      <c r="AB14" s="17" t="str">
        <f t="shared" si="7"/>
        <v/>
      </c>
      <c r="AC14" s="94" t="str">
        <f t="shared" si="8"/>
        <v/>
      </c>
      <c r="AD14" s="99" t="str">
        <f t="shared" si="9"/>
        <v/>
      </c>
      <c r="AE14" s="17" t="str">
        <f>IF(AD14="","",LOOKUP(AD14,SETTINGS!$F$16:$F$56,SETTINGS!$H$16:$H$56))</f>
        <v/>
      </c>
      <c r="AF14" s="14" t="str">
        <f>IF(AE14="","",LOOKUP(AE14,SETTINGS!$G$4:$G$8,SETTINGS!$F$4:$F$8))</f>
        <v/>
      </c>
      <c r="AG14" s="29" t="str">
        <f t="shared" si="10"/>
        <v/>
      </c>
    </row>
    <row r="15" spans="1:36" x14ac:dyDescent="0.25">
      <c r="A15" s="28">
        <v>6</v>
      </c>
      <c r="B15" s="77">
        <f>INPUT!B14</f>
        <v>0</v>
      </c>
      <c r="C15" s="93"/>
      <c r="D15" s="16"/>
      <c r="E15" s="16"/>
      <c r="F15" s="16"/>
      <c r="G15" s="16"/>
      <c r="H15" s="16"/>
      <c r="I15" s="16"/>
      <c r="J15" s="16"/>
      <c r="K15" s="16"/>
      <c r="L15" s="16"/>
      <c r="M15" s="17" t="str">
        <f t="shared" si="0"/>
        <v/>
      </c>
      <c r="N15" s="17" t="str">
        <f t="shared" si="1"/>
        <v/>
      </c>
      <c r="O15" s="94" t="str">
        <f t="shared" si="2"/>
        <v/>
      </c>
      <c r="P15" s="93"/>
      <c r="Q15" s="16"/>
      <c r="R15" s="16"/>
      <c r="S15" s="16"/>
      <c r="T15" s="16"/>
      <c r="U15" s="17" t="str">
        <f t="shared" si="3"/>
        <v/>
      </c>
      <c r="V15" s="17" t="str">
        <f t="shared" si="4"/>
        <v/>
      </c>
      <c r="W15" s="94" t="str">
        <f t="shared" si="5"/>
        <v/>
      </c>
      <c r="X15" s="93"/>
      <c r="Y15" s="16"/>
      <c r="Z15" s="16"/>
      <c r="AA15" s="17" t="str">
        <f t="shared" si="6"/>
        <v/>
      </c>
      <c r="AB15" s="17" t="str">
        <f t="shared" si="7"/>
        <v/>
      </c>
      <c r="AC15" s="94" t="str">
        <f t="shared" si="8"/>
        <v/>
      </c>
      <c r="AD15" s="99" t="str">
        <f t="shared" si="9"/>
        <v/>
      </c>
      <c r="AE15" s="17" t="str">
        <f>IF(AD15="","",LOOKUP(AD15,SETTINGS!$F$16:$F$56,SETTINGS!$H$16:$H$56))</f>
        <v/>
      </c>
      <c r="AF15" s="14" t="str">
        <f>IF(AE15="","",LOOKUP(AE15,SETTINGS!$G$4:$G$8,SETTINGS!$F$4:$F$8))</f>
        <v/>
      </c>
      <c r="AG15" s="29" t="str">
        <f t="shared" si="10"/>
        <v/>
      </c>
    </row>
    <row r="16" spans="1:36" x14ac:dyDescent="0.25">
      <c r="A16" s="28">
        <v>7</v>
      </c>
      <c r="B16" s="77">
        <f>INPUT!B15</f>
        <v>0</v>
      </c>
      <c r="C16" s="93"/>
      <c r="D16" s="16"/>
      <c r="E16" s="16"/>
      <c r="F16" s="16"/>
      <c r="G16" s="16"/>
      <c r="H16" s="16"/>
      <c r="I16" s="16"/>
      <c r="J16" s="16"/>
      <c r="K16" s="16"/>
      <c r="L16" s="16"/>
      <c r="M16" s="17" t="str">
        <f t="shared" si="0"/>
        <v/>
      </c>
      <c r="N16" s="17" t="str">
        <f t="shared" si="1"/>
        <v/>
      </c>
      <c r="O16" s="94" t="str">
        <f t="shared" si="2"/>
        <v/>
      </c>
      <c r="P16" s="93"/>
      <c r="Q16" s="16"/>
      <c r="R16" s="16"/>
      <c r="S16" s="16"/>
      <c r="T16" s="16"/>
      <c r="U16" s="17" t="str">
        <f t="shared" si="3"/>
        <v/>
      </c>
      <c r="V16" s="17" t="str">
        <f t="shared" si="4"/>
        <v/>
      </c>
      <c r="W16" s="94" t="str">
        <f t="shared" si="5"/>
        <v/>
      </c>
      <c r="X16" s="93"/>
      <c r="Y16" s="16"/>
      <c r="Z16" s="16"/>
      <c r="AA16" s="17" t="str">
        <f t="shared" si="6"/>
        <v/>
      </c>
      <c r="AB16" s="17" t="str">
        <f t="shared" si="7"/>
        <v/>
      </c>
      <c r="AC16" s="94" t="str">
        <f t="shared" si="8"/>
        <v/>
      </c>
      <c r="AD16" s="99" t="str">
        <f t="shared" si="9"/>
        <v/>
      </c>
      <c r="AE16" s="17" t="str">
        <f>IF(AD16="","",LOOKUP(AD16,SETTINGS!$F$16:$F$56,SETTINGS!$H$16:$H$56))</f>
        <v/>
      </c>
      <c r="AF16" s="14" t="str">
        <f>IF(AE16="","",LOOKUP(AE16,SETTINGS!$G$4:$G$8,SETTINGS!$F$4:$F$8))</f>
        <v/>
      </c>
      <c r="AG16" s="29" t="str">
        <f t="shared" si="10"/>
        <v/>
      </c>
    </row>
    <row r="17" spans="1:33" x14ac:dyDescent="0.25">
      <c r="A17" s="28">
        <v>8</v>
      </c>
      <c r="B17" s="77">
        <f>INPUT!B16</f>
        <v>0</v>
      </c>
      <c r="C17" s="93"/>
      <c r="D17" s="16"/>
      <c r="E17" s="16"/>
      <c r="F17" s="16"/>
      <c r="G17" s="16"/>
      <c r="H17" s="16"/>
      <c r="I17" s="16"/>
      <c r="J17" s="16"/>
      <c r="K17" s="16"/>
      <c r="L17" s="16"/>
      <c r="M17" s="17" t="str">
        <f t="shared" si="0"/>
        <v/>
      </c>
      <c r="N17" s="17" t="str">
        <f t="shared" si="1"/>
        <v/>
      </c>
      <c r="O17" s="94" t="str">
        <f t="shared" si="2"/>
        <v/>
      </c>
      <c r="P17" s="93"/>
      <c r="Q17" s="16"/>
      <c r="R17" s="16"/>
      <c r="S17" s="16"/>
      <c r="T17" s="16"/>
      <c r="U17" s="17" t="str">
        <f t="shared" si="3"/>
        <v/>
      </c>
      <c r="V17" s="17" t="str">
        <f t="shared" si="4"/>
        <v/>
      </c>
      <c r="W17" s="94" t="str">
        <f t="shared" si="5"/>
        <v/>
      </c>
      <c r="X17" s="93"/>
      <c r="Y17" s="16"/>
      <c r="Z17" s="16"/>
      <c r="AA17" s="17" t="str">
        <f t="shared" si="6"/>
        <v/>
      </c>
      <c r="AB17" s="17" t="str">
        <f t="shared" si="7"/>
        <v/>
      </c>
      <c r="AC17" s="94" t="str">
        <f t="shared" si="8"/>
        <v/>
      </c>
      <c r="AD17" s="99" t="str">
        <f t="shared" si="9"/>
        <v/>
      </c>
      <c r="AE17" s="17" t="str">
        <f>IF(AD17="","",LOOKUP(AD17,SETTINGS!$F$16:$F$56,SETTINGS!$H$16:$H$56))</f>
        <v/>
      </c>
      <c r="AF17" s="14" t="str">
        <f>IF(AE17="","",LOOKUP(AE17,SETTINGS!$G$4:$G$8,SETTINGS!$F$4:$F$8))</f>
        <v/>
      </c>
      <c r="AG17" s="29" t="str">
        <f t="shared" si="10"/>
        <v/>
      </c>
    </row>
    <row r="18" spans="1:33" x14ac:dyDescent="0.25">
      <c r="A18" s="28">
        <v>9</v>
      </c>
      <c r="B18" s="77">
        <f>INPUT!B17</f>
        <v>0</v>
      </c>
      <c r="C18" s="93"/>
      <c r="D18" s="16"/>
      <c r="E18" s="16"/>
      <c r="F18" s="16"/>
      <c r="G18" s="16"/>
      <c r="H18" s="16"/>
      <c r="I18" s="16"/>
      <c r="J18" s="16"/>
      <c r="K18" s="16"/>
      <c r="L18" s="16"/>
      <c r="M18" s="17" t="str">
        <f t="shared" si="0"/>
        <v/>
      </c>
      <c r="N18" s="17" t="str">
        <f t="shared" si="1"/>
        <v/>
      </c>
      <c r="O18" s="94" t="str">
        <f t="shared" si="2"/>
        <v/>
      </c>
      <c r="P18" s="93"/>
      <c r="Q18" s="16"/>
      <c r="R18" s="16"/>
      <c r="S18" s="16"/>
      <c r="T18" s="16"/>
      <c r="U18" s="17" t="str">
        <f t="shared" si="3"/>
        <v/>
      </c>
      <c r="V18" s="17" t="str">
        <f t="shared" si="4"/>
        <v/>
      </c>
      <c r="W18" s="94" t="str">
        <f t="shared" si="5"/>
        <v/>
      </c>
      <c r="X18" s="93"/>
      <c r="Y18" s="16"/>
      <c r="Z18" s="16"/>
      <c r="AA18" s="17" t="str">
        <f t="shared" si="6"/>
        <v/>
      </c>
      <c r="AB18" s="17" t="str">
        <f t="shared" si="7"/>
        <v/>
      </c>
      <c r="AC18" s="94" t="str">
        <f t="shared" si="8"/>
        <v/>
      </c>
      <c r="AD18" s="99" t="str">
        <f t="shared" si="9"/>
        <v/>
      </c>
      <c r="AE18" s="17" t="str">
        <f>IF(AD18="","",LOOKUP(AD18,SETTINGS!$F$16:$F$56,SETTINGS!$H$16:$H$56))</f>
        <v/>
      </c>
      <c r="AF18" s="14" t="str">
        <f>IF(AE18="","",LOOKUP(AE18,SETTINGS!$G$4:$G$8,SETTINGS!$F$4:$F$8))</f>
        <v/>
      </c>
      <c r="AG18" s="29" t="str">
        <f t="shared" si="10"/>
        <v/>
      </c>
    </row>
    <row r="19" spans="1:33" x14ac:dyDescent="0.25">
      <c r="A19" s="28">
        <v>10</v>
      </c>
      <c r="B19" s="77">
        <f>INPUT!B18</f>
        <v>0</v>
      </c>
      <c r="C19" s="93"/>
      <c r="D19" s="16"/>
      <c r="E19" s="16"/>
      <c r="F19" s="16"/>
      <c r="G19" s="16"/>
      <c r="H19" s="16"/>
      <c r="I19" s="16"/>
      <c r="J19" s="16"/>
      <c r="K19" s="16"/>
      <c r="L19" s="16"/>
      <c r="M19" s="17" t="str">
        <f t="shared" si="0"/>
        <v/>
      </c>
      <c r="N19" s="17" t="str">
        <f t="shared" si="1"/>
        <v/>
      </c>
      <c r="O19" s="94" t="str">
        <f t="shared" si="2"/>
        <v/>
      </c>
      <c r="P19" s="93"/>
      <c r="Q19" s="16"/>
      <c r="R19" s="16"/>
      <c r="S19" s="16"/>
      <c r="T19" s="16"/>
      <c r="U19" s="17" t="str">
        <f t="shared" si="3"/>
        <v/>
      </c>
      <c r="V19" s="17" t="str">
        <f t="shared" si="4"/>
        <v/>
      </c>
      <c r="W19" s="94" t="str">
        <f t="shared" si="5"/>
        <v/>
      </c>
      <c r="X19" s="93"/>
      <c r="Y19" s="16"/>
      <c r="Z19" s="16"/>
      <c r="AA19" s="17" t="str">
        <f t="shared" si="6"/>
        <v/>
      </c>
      <c r="AB19" s="17" t="str">
        <f t="shared" si="7"/>
        <v/>
      </c>
      <c r="AC19" s="94" t="str">
        <f t="shared" si="8"/>
        <v/>
      </c>
      <c r="AD19" s="99" t="str">
        <f t="shared" si="9"/>
        <v/>
      </c>
      <c r="AE19" s="17" t="str">
        <f>IF(AD19="","",LOOKUP(AD19,SETTINGS!$F$16:$F$56,SETTINGS!$H$16:$H$56))</f>
        <v/>
      </c>
      <c r="AF19" s="14" t="str">
        <f>IF(AE19="","",LOOKUP(AE19,SETTINGS!$G$4:$G$8,SETTINGS!$F$4:$F$8))</f>
        <v/>
      </c>
      <c r="AG19" s="29" t="str">
        <f t="shared" si="10"/>
        <v/>
      </c>
    </row>
    <row r="20" spans="1:33" x14ac:dyDescent="0.25">
      <c r="A20" s="28">
        <v>11</v>
      </c>
      <c r="B20" s="77">
        <f>INPUT!B19</f>
        <v>0</v>
      </c>
      <c r="C20" s="93"/>
      <c r="D20" s="16"/>
      <c r="E20" s="16"/>
      <c r="F20" s="16"/>
      <c r="G20" s="16"/>
      <c r="H20" s="16"/>
      <c r="I20" s="16"/>
      <c r="J20" s="16"/>
      <c r="K20" s="16"/>
      <c r="L20" s="16"/>
      <c r="M20" s="17" t="str">
        <f t="shared" si="0"/>
        <v/>
      </c>
      <c r="N20" s="17" t="str">
        <f t="shared" si="1"/>
        <v/>
      </c>
      <c r="O20" s="94" t="str">
        <f t="shared" si="2"/>
        <v/>
      </c>
      <c r="P20" s="93"/>
      <c r="Q20" s="16"/>
      <c r="R20" s="16"/>
      <c r="S20" s="16"/>
      <c r="T20" s="16"/>
      <c r="U20" s="17" t="str">
        <f t="shared" si="3"/>
        <v/>
      </c>
      <c r="V20" s="17" t="str">
        <f t="shared" si="4"/>
        <v/>
      </c>
      <c r="W20" s="94" t="str">
        <f t="shared" si="5"/>
        <v/>
      </c>
      <c r="X20" s="93"/>
      <c r="Y20" s="16"/>
      <c r="Z20" s="16"/>
      <c r="AA20" s="17" t="str">
        <f t="shared" si="6"/>
        <v/>
      </c>
      <c r="AB20" s="17" t="str">
        <f t="shared" si="7"/>
        <v/>
      </c>
      <c r="AC20" s="94" t="str">
        <f t="shared" si="8"/>
        <v/>
      </c>
      <c r="AD20" s="99" t="str">
        <f t="shared" si="9"/>
        <v/>
      </c>
      <c r="AE20" s="17" t="str">
        <f>IF(AD20="","",LOOKUP(AD20,SETTINGS!$F$16:$F$56,SETTINGS!$H$16:$H$56))</f>
        <v/>
      </c>
      <c r="AF20" s="14" t="str">
        <f>IF(AE20="","",LOOKUP(AE20,SETTINGS!$G$4:$G$8,SETTINGS!$F$4:$F$8))</f>
        <v/>
      </c>
      <c r="AG20" s="29" t="str">
        <f t="shared" si="10"/>
        <v/>
      </c>
    </row>
    <row r="21" spans="1:33" x14ac:dyDescent="0.25">
      <c r="A21" s="28">
        <v>12</v>
      </c>
      <c r="B21" s="77">
        <f>INPUT!B20</f>
        <v>0</v>
      </c>
      <c r="C21" s="93"/>
      <c r="D21" s="16"/>
      <c r="E21" s="16"/>
      <c r="F21" s="16"/>
      <c r="G21" s="16"/>
      <c r="H21" s="16"/>
      <c r="I21" s="16"/>
      <c r="J21" s="16"/>
      <c r="K21" s="16"/>
      <c r="L21" s="16"/>
      <c r="M21" s="17" t="str">
        <f t="shared" si="0"/>
        <v/>
      </c>
      <c r="N21" s="17" t="str">
        <f t="shared" si="1"/>
        <v/>
      </c>
      <c r="O21" s="94" t="str">
        <f t="shared" si="2"/>
        <v/>
      </c>
      <c r="P21" s="93"/>
      <c r="Q21" s="16"/>
      <c r="R21" s="16"/>
      <c r="S21" s="16"/>
      <c r="T21" s="16"/>
      <c r="U21" s="17" t="str">
        <f t="shared" si="3"/>
        <v/>
      </c>
      <c r="V21" s="17" t="str">
        <f t="shared" si="4"/>
        <v/>
      </c>
      <c r="W21" s="94" t="str">
        <f t="shared" si="5"/>
        <v/>
      </c>
      <c r="X21" s="93"/>
      <c r="Y21" s="16"/>
      <c r="Z21" s="16"/>
      <c r="AA21" s="17" t="str">
        <f t="shared" si="6"/>
        <v/>
      </c>
      <c r="AB21" s="17" t="str">
        <f t="shared" si="7"/>
        <v/>
      </c>
      <c r="AC21" s="94" t="str">
        <f t="shared" si="8"/>
        <v/>
      </c>
      <c r="AD21" s="99" t="str">
        <f t="shared" si="9"/>
        <v/>
      </c>
      <c r="AE21" s="17" t="str">
        <f>IF(AD21="","",LOOKUP(AD21,SETTINGS!$F$16:$F$56,SETTINGS!$H$16:$H$56))</f>
        <v/>
      </c>
      <c r="AF21" s="14" t="str">
        <f>IF(AE21="","",LOOKUP(AE21,SETTINGS!$G$4:$G$8,SETTINGS!$F$4:$F$8))</f>
        <v/>
      </c>
      <c r="AG21" s="29" t="str">
        <f t="shared" si="10"/>
        <v/>
      </c>
    </row>
    <row r="22" spans="1:33" x14ac:dyDescent="0.25">
      <c r="A22" s="28">
        <v>13</v>
      </c>
      <c r="B22" s="77">
        <f>INPUT!B21</f>
        <v>0</v>
      </c>
      <c r="C22" s="93"/>
      <c r="D22" s="16"/>
      <c r="E22" s="16"/>
      <c r="F22" s="16"/>
      <c r="G22" s="16"/>
      <c r="H22" s="16"/>
      <c r="I22" s="16"/>
      <c r="J22" s="16"/>
      <c r="K22" s="16"/>
      <c r="L22" s="16"/>
      <c r="M22" s="17" t="str">
        <f t="shared" si="0"/>
        <v/>
      </c>
      <c r="N22" s="17" t="str">
        <f t="shared" si="1"/>
        <v/>
      </c>
      <c r="O22" s="94" t="str">
        <f t="shared" si="2"/>
        <v/>
      </c>
      <c r="P22" s="93"/>
      <c r="Q22" s="16"/>
      <c r="R22" s="16"/>
      <c r="S22" s="16"/>
      <c r="T22" s="16"/>
      <c r="U22" s="17" t="str">
        <f t="shared" si="3"/>
        <v/>
      </c>
      <c r="V22" s="17" t="str">
        <f t="shared" si="4"/>
        <v/>
      </c>
      <c r="W22" s="94" t="str">
        <f t="shared" si="5"/>
        <v/>
      </c>
      <c r="X22" s="93"/>
      <c r="Y22" s="16"/>
      <c r="Z22" s="16"/>
      <c r="AA22" s="17" t="str">
        <f t="shared" si="6"/>
        <v/>
      </c>
      <c r="AB22" s="17" t="str">
        <f t="shared" si="7"/>
        <v/>
      </c>
      <c r="AC22" s="94" t="str">
        <f t="shared" si="8"/>
        <v/>
      </c>
      <c r="AD22" s="99" t="str">
        <f t="shared" si="9"/>
        <v/>
      </c>
      <c r="AE22" s="17" t="str">
        <f>IF(AD22="","",LOOKUP(AD22,SETTINGS!$F$16:$F$56,SETTINGS!$H$16:$H$56))</f>
        <v/>
      </c>
      <c r="AF22" s="14" t="str">
        <f>IF(AE22="","",LOOKUP(AE22,SETTINGS!$G$4:$G$8,SETTINGS!$F$4:$F$8))</f>
        <v/>
      </c>
      <c r="AG22" s="29" t="str">
        <f t="shared" si="10"/>
        <v/>
      </c>
    </row>
    <row r="23" spans="1:33" x14ac:dyDescent="0.25">
      <c r="A23" s="28">
        <v>14</v>
      </c>
      <c r="B23" s="77">
        <f>INPUT!B22</f>
        <v>0</v>
      </c>
      <c r="C23" s="93"/>
      <c r="D23" s="16"/>
      <c r="E23" s="16"/>
      <c r="F23" s="16"/>
      <c r="G23" s="16"/>
      <c r="H23" s="16"/>
      <c r="I23" s="16"/>
      <c r="J23" s="16"/>
      <c r="K23" s="16"/>
      <c r="L23" s="16"/>
      <c r="M23" s="17" t="str">
        <f t="shared" si="0"/>
        <v/>
      </c>
      <c r="N23" s="17" t="str">
        <f t="shared" si="1"/>
        <v/>
      </c>
      <c r="O23" s="94" t="str">
        <f t="shared" si="2"/>
        <v/>
      </c>
      <c r="P23" s="93"/>
      <c r="Q23" s="16"/>
      <c r="R23" s="16"/>
      <c r="S23" s="16"/>
      <c r="T23" s="16"/>
      <c r="U23" s="17" t="str">
        <f t="shared" si="3"/>
        <v/>
      </c>
      <c r="V23" s="17" t="str">
        <f t="shared" si="4"/>
        <v/>
      </c>
      <c r="W23" s="94" t="str">
        <f t="shared" si="5"/>
        <v/>
      </c>
      <c r="X23" s="93"/>
      <c r="Y23" s="16"/>
      <c r="Z23" s="16"/>
      <c r="AA23" s="17" t="str">
        <f t="shared" si="6"/>
        <v/>
      </c>
      <c r="AB23" s="17" t="str">
        <f t="shared" si="7"/>
        <v/>
      </c>
      <c r="AC23" s="94" t="str">
        <f t="shared" si="8"/>
        <v/>
      </c>
      <c r="AD23" s="99" t="str">
        <f t="shared" si="9"/>
        <v/>
      </c>
      <c r="AE23" s="17" t="str">
        <f>IF(AD23="","",LOOKUP(AD23,SETTINGS!$F$16:$F$56,SETTINGS!$H$16:$H$56))</f>
        <v/>
      </c>
      <c r="AF23" s="14" t="str">
        <f>IF(AE23="","",LOOKUP(AE23,SETTINGS!$G$4:$G$8,SETTINGS!$F$4:$F$8))</f>
        <v/>
      </c>
      <c r="AG23" s="29" t="str">
        <f t="shared" si="10"/>
        <v/>
      </c>
    </row>
    <row r="24" spans="1:33" x14ac:dyDescent="0.25">
      <c r="A24" s="28">
        <v>15</v>
      </c>
      <c r="B24" s="77">
        <f>INPUT!B23</f>
        <v>0</v>
      </c>
      <c r="C24" s="93"/>
      <c r="D24" s="16"/>
      <c r="E24" s="16"/>
      <c r="F24" s="16"/>
      <c r="G24" s="16"/>
      <c r="H24" s="16"/>
      <c r="I24" s="16"/>
      <c r="J24" s="16"/>
      <c r="K24" s="16"/>
      <c r="L24" s="16"/>
      <c r="M24" s="17" t="str">
        <f t="shared" si="0"/>
        <v/>
      </c>
      <c r="N24" s="17" t="str">
        <f t="shared" si="1"/>
        <v/>
      </c>
      <c r="O24" s="94" t="str">
        <f t="shared" si="2"/>
        <v/>
      </c>
      <c r="P24" s="93"/>
      <c r="Q24" s="16"/>
      <c r="R24" s="16"/>
      <c r="S24" s="16"/>
      <c r="T24" s="16"/>
      <c r="U24" s="17" t="str">
        <f t="shared" si="3"/>
        <v/>
      </c>
      <c r="V24" s="17" t="str">
        <f t="shared" si="4"/>
        <v/>
      </c>
      <c r="W24" s="94" t="str">
        <f t="shared" si="5"/>
        <v/>
      </c>
      <c r="X24" s="93"/>
      <c r="Y24" s="16"/>
      <c r="Z24" s="16"/>
      <c r="AA24" s="17" t="str">
        <f t="shared" si="6"/>
        <v/>
      </c>
      <c r="AB24" s="17" t="str">
        <f t="shared" si="7"/>
        <v/>
      </c>
      <c r="AC24" s="94" t="str">
        <f t="shared" si="8"/>
        <v/>
      </c>
      <c r="AD24" s="99" t="str">
        <f t="shared" si="9"/>
        <v/>
      </c>
      <c r="AE24" s="17" t="str">
        <f>IF(AD24="","",LOOKUP(AD24,SETTINGS!$F$16:$F$56,SETTINGS!$H$16:$H$56))</f>
        <v/>
      </c>
      <c r="AF24" s="14" t="str">
        <f>IF(AE24="","",LOOKUP(AE24,SETTINGS!$G$4:$G$8,SETTINGS!$F$4:$F$8))</f>
        <v/>
      </c>
      <c r="AG24" s="29" t="str">
        <f t="shared" si="10"/>
        <v/>
      </c>
    </row>
    <row r="25" spans="1:33" x14ac:dyDescent="0.25">
      <c r="A25" s="28">
        <v>16</v>
      </c>
      <c r="B25" s="77">
        <f>INPUT!B24</f>
        <v>0</v>
      </c>
      <c r="C25" s="93"/>
      <c r="D25" s="16"/>
      <c r="E25" s="16"/>
      <c r="F25" s="16"/>
      <c r="G25" s="16"/>
      <c r="H25" s="16"/>
      <c r="I25" s="16"/>
      <c r="J25" s="16"/>
      <c r="K25" s="16"/>
      <c r="L25" s="16"/>
      <c r="M25" s="17" t="str">
        <f t="shared" si="0"/>
        <v/>
      </c>
      <c r="N25" s="17" t="str">
        <f t="shared" si="1"/>
        <v/>
      </c>
      <c r="O25" s="94" t="str">
        <f t="shared" si="2"/>
        <v/>
      </c>
      <c r="P25" s="93"/>
      <c r="Q25" s="16"/>
      <c r="R25" s="16"/>
      <c r="S25" s="16"/>
      <c r="T25" s="16"/>
      <c r="U25" s="17" t="str">
        <f t="shared" si="3"/>
        <v/>
      </c>
      <c r="V25" s="17" t="str">
        <f t="shared" si="4"/>
        <v/>
      </c>
      <c r="W25" s="94" t="str">
        <f t="shared" si="5"/>
        <v/>
      </c>
      <c r="X25" s="93"/>
      <c r="Y25" s="16"/>
      <c r="Z25" s="16"/>
      <c r="AA25" s="17" t="str">
        <f t="shared" si="6"/>
        <v/>
      </c>
      <c r="AB25" s="17" t="str">
        <f t="shared" si="7"/>
        <v/>
      </c>
      <c r="AC25" s="94" t="str">
        <f t="shared" si="8"/>
        <v/>
      </c>
      <c r="AD25" s="99" t="str">
        <f t="shared" si="9"/>
        <v/>
      </c>
      <c r="AE25" s="17" t="str">
        <f>IF(AD25="","",LOOKUP(AD25,SETTINGS!$F$16:$F$56,SETTINGS!$H$16:$H$56))</f>
        <v/>
      </c>
      <c r="AF25" s="14" t="str">
        <f>IF(AE25="","",LOOKUP(AE25,SETTINGS!$G$4:$G$8,SETTINGS!$F$4:$F$8))</f>
        <v/>
      </c>
      <c r="AG25" s="29" t="str">
        <f t="shared" si="10"/>
        <v/>
      </c>
    </row>
    <row r="26" spans="1:33" x14ac:dyDescent="0.25">
      <c r="A26" s="28">
        <v>17</v>
      </c>
      <c r="B26" s="77">
        <f>INPUT!B25</f>
        <v>0</v>
      </c>
      <c r="C26" s="93"/>
      <c r="D26" s="16"/>
      <c r="E26" s="16"/>
      <c r="F26" s="16"/>
      <c r="G26" s="16"/>
      <c r="H26" s="16"/>
      <c r="I26" s="16"/>
      <c r="J26" s="16"/>
      <c r="K26" s="16"/>
      <c r="L26" s="16"/>
      <c r="M26" s="17" t="str">
        <f t="shared" si="0"/>
        <v/>
      </c>
      <c r="N26" s="17" t="str">
        <f t="shared" si="1"/>
        <v/>
      </c>
      <c r="O26" s="94" t="str">
        <f t="shared" si="2"/>
        <v/>
      </c>
      <c r="P26" s="93"/>
      <c r="Q26" s="16"/>
      <c r="R26" s="16"/>
      <c r="S26" s="16"/>
      <c r="T26" s="16"/>
      <c r="U26" s="17" t="str">
        <f t="shared" si="3"/>
        <v/>
      </c>
      <c r="V26" s="17" t="str">
        <f t="shared" si="4"/>
        <v/>
      </c>
      <c r="W26" s="94" t="str">
        <f t="shared" si="5"/>
        <v/>
      </c>
      <c r="X26" s="93"/>
      <c r="Y26" s="16"/>
      <c r="Z26" s="16"/>
      <c r="AA26" s="17" t="str">
        <f t="shared" si="6"/>
        <v/>
      </c>
      <c r="AB26" s="17" t="str">
        <f t="shared" si="7"/>
        <v/>
      </c>
      <c r="AC26" s="94" t="str">
        <f t="shared" si="8"/>
        <v/>
      </c>
      <c r="AD26" s="99" t="str">
        <f t="shared" si="9"/>
        <v/>
      </c>
      <c r="AE26" s="17" t="str">
        <f>IF(AD26="","",LOOKUP(AD26,SETTINGS!$F$16:$F$56,SETTINGS!$H$16:$H$56))</f>
        <v/>
      </c>
      <c r="AF26" s="14" t="str">
        <f>IF(AE26="","",LOOKUP(AE26,SETTINGS!$G$4:$G$8,SETTINGS!$F$4:$F$8))</f>
        <v/>
      </c>
      <c r="AG26" s="29" t="str">
        <f t="shared" si="10"/>
        <v/>
      </c>
    </row>
    <row r="27" spans="1:33" x14ac:dyDescent="0.25">
      <c r="A27" s="28">
        <v>18</v>
      </c>
      <c r="B27" s="77">
        <f>INPUT!B26</f>
        <v>0</v>
      </c>
      <c r="C27" s="93"/>
      <c r="D27" s="16"/>
      <c r="E27" s="16"/>
      <c r="F27" s="16"/>
      <c r="G27" s="16"/>
      <c r="H27" s="16"/>
      <c r="I27" s="16"/>
      <c r="J27" s="16"/>
      <c r="K27" s="16"/>
      <c r="L27" s="16"/>
      <c r="M27" s="17" t="str">
        <f t="shared" si="0"/>
        <v/>
      </c>
      <c r="N27" s="17" t="str">
        <f t="shared" si="1"/>
        <v/>
      </c>
      <c r="O27" s="94" t="str">
        <f t="shared" si="2"/>
        <v/>
      </c>
      <c r="P27" s="93"/>
      <c r="Q27" s="16"/>
      <c r="R27" s="16"/>
      <c r="S27" s="16"/>
      <c r="T27" s="16"/>
      <c r="U27" s="17" t="str">
        <f t="shared" si="3"/>
        <v/>
      </c>
      <c r="V27" s="17" t="str">
        <f t="shared" si="4"/>
        <v/>
      </c>
      <c r="W27" s="94" t="str">
        <f t="shared" si="5"/>
        <v/>
      </c>
      <c r="X27" s="93"/>
      <c r="Y27" s="16"/>
      <c r="Z27" s="16"/>
      <c r="AA27" s="17" t="str">
        <f t="shared" si="6"/>
        <v/>
      </c>
      <c r="AB27" s="17" t="str">
        <f t="shared" si="7"/>
        <v/>
      </c>
      <c r="AC27" s="94" t="str">
        <f t="shared" si="8"/>
        <v/>
      </c>
      <c r="AD27" s="99" t="str">
        <f t="shared" si="9"/>
        <v/>
      </c>
      <c r="AE27" s="17" t="str">
        <f>IF(AD27="","",LOOKUP(AD27,SETTINGS!$F$16:$F$56,SETTINGS!$H$16:$H$56))</f>
        <v/>
      </c>
      <c r="AF27" s="14" t="str">
        <f>IF(AE27="","",LOOKUP(AE27,SETTINGS!$G$4:$G$8,SETTINGS!$F$4:$F$8))</f>
        <v/>
      </c>
      <c r="AG27" s="29" t="str">
        <f t="shared" si="10"/>
        <v/>
      </c>
    </row>
    <row r="28" spans="1:33" x14ac:dyDescent="0.25">
      <c r="A28" s="28">
        <v>19</v>
      </c>
      <c r="B28" s="77">
        <f>INPUT!B27</f>
        <v>0</v>
      </c>
      <c r="C28" s="93"/>
      <c r="D28" s="16"/>
      <c r="E28" s="16"/>
      <c r="F28" s="16"/>
      <c r="G28" s="16"/>
      <c r="H28" s="16"/>
      <c r="I28" s="16"/>
      <c r="J28" s="16"/>
      <c r="K28" s="16"/>
      <c r="L28" s="16"/>
      <c r="M28" s="17" t="str">
        <f t="shared" si="0"/>
        <v/>
      </c>
      <c r="N28" s="17" t="str">
        <f t="shared" si="1"/>
        <v/>
      </c>
      <c r="O28" s="94" t="str">
        <f t="shared" si="2"/>
        <v/>
      </c>
      <c r="P28" s="93"/>
      <c r="Q28" s="16"/>
      <c r="R28" s="16"/>
      <c r="S28" s="16"/>
      <c r="T28" s="16"/>
      <c r="U28" s="17" t="str">
        <f t="shared" si="3"/>
        <v/>
      </c>
      <c r="V28" s="17" t="str">
        <f t="shared" si="4"/>
        <v/>
      </c>
      <c r="W28" s="94" t="str">
        <f t="shared" si="5"/>
        <v/>
      </c>
      <c r="X28" s="93"/>
      <c r="Y28" s="16"/>
      <c r="Z28" s="16"/>
      <c r="AA28" s="17" t="str">
        <f t="shared" si="6"/>
        <v/>
      </c>
      <c r="AB28" s="17" t="str">
        <f t="shared" si="7"/>
        <v/>
      </c>
      <c r="AC28" s="94" t="str">
        <f t="shared" si="8"/>
        <v/>
      </c>
      <c r="AD28" s="99" t="str">
        <f t="shared" si="9"/>
        <v/>
      </c>
      <c r="AE28" s="17" t="str">
        <f>IF(AD28="","",LOOKUP(AD28,SETTINGS!$F$16:$F$56,SETTINGS!$H$16:$H$56))</f>
        <v/>
      </c>
      <c r="AF28" s="14" t="str">
        <f>IF(AE28="","",LOOKUP(AE28,SETTINGS!$G$4:$G$8,SETTINGS!$F$4:$F$8))</f>
        <v/>
      </c>
      <c r="AG28" s="29" t="str">
        <f t="shared" si="10"/>
        <v/>
      </c>
    </row>
    <row r="29" spans="1:33" x14ac:dyDescent="0.25">
      <c r="A29" s="28">
        <v>20</v>
      </c>
      <c r="B29" s="77">
        <f>INPUT!B28</f>
        <v>0</v>
      </c>
      <c r="C29" s="93"/>
      <c r="D29" s="16"/>
      <c r="E29" s="16"/>
      <c r="F29" s="16"/>
      <c r="G29" s="16"/>
      <c r="H29" s="16"/>
      <c r="I29" s="16"/>
      <c r="J29" s="16"/>
      <c r="K29" s="16"/>
      <c r="L29" s="16"/>
      <c r="M29" s="17" t="str">
        <f t="shared" si="0"/>
        <v/>
      </c>
      <c r="N29" s="17" t="str">
        <f t="shared" si="1"/>
        <v/>
      </c>
      <c r="O29" s="94" t="str">
        <f t="shared" si="2"/>
        <v/>
      </c>
      <c r="P29" s="93"/>
      <c r="Q29" s="16"/>
      <c r="R29" s="16"/>
      <c r="S29" s="16"/>
      <c r="T29" s="16"/>
      <c r="U29" s="17" t="str">
        <f t="shared" si="3"/>
        <v/>
      </c>
      <c r="V29" s="17" t="str">
        <f t="shared" si="4"/>
        <v/>
      </c>
      <c r="W29" s="94" t="str">
        <f t="shared" si="5"/>
        <v/>
      </c>
      <c r="X29" s="93"/>
      <c r="Y29" s="16"/>
      <c r="Z29" s="16"/>
      <c r="AA29" s="17" t="str">
        <f t="shared" si="6"/>
        <v/>
      </c>
      <c r="AB29" s="17" t="str">
        <f t="shared" si="7"/>
        <v/>
      </c>
      <c r="AC29" s="94" t="str">
        <f t="shared" si="8"/>
        <v/>
      </c>
      <c r="AD29" s="99" t="str">
        <f t="shared" si="9"/>
        <v/>
      </c>
      <c r="AE29" s="17" t="str">
        <f>IF(AD29="","",LOOKUP(AD29,SETTINGS!$F$16:$F$56,SETTINGS!$H$16:$H$56))</f>
        <v/>
      </c>
      <c r="AF29" s="14" t="str">
        <f>IF(AE29="","",LOOKUP(AE29,SETTINGS!$G$4:$G$8,SETTINGS!$F$4:$F$8))</f>
        <v/>
      </c>
      <c r="AG29" s="29" t="str">
        <f t="shared" si="10"/>
        <v/>
      </c>
    </row>
    <row r="30" spans="1:33" x14ac:dyDescent="0.25">
      <c r="A30" s="28">
        <v>21</v>
      </c>
      <c r="B30" s="77">
        <f>INPUT!B29</f>
        <v>0</v>
      </c>
      <c r="C30" s="93"/>
      <c r="D30" s="16"/>
      <c r="E30" s="16"/>
      <c r="F30" s="16"/>
      <c r="G30" s="16"/>
      <c r="H30" s="16"/>
      <c r="I30" s="16"/>
      <c r="J30" s="16"/>
      <c r="K30" s="16"/>
      <c r="L30" s="16"/>
      <c r="M30" s="17" t="str">
        <f t="shared" si="0"/>
        <v/>
      </c>
      <c r="N30" s="17" t="str">
        <f t="shared" si="1"/>
        <v/>
      </c>
      <c r="O30" s="94" t="str">
        <f t="shared" si="2"/>
        <v/>
      </c>
      <c r="P30" s="93"/>
      <c r="Q30" s="16"/>
      <c r="R30" s="16"/>
      <c r="S30" s="16"/>
      <c r="T30" s="16"/>
      <c r="U30" s="17" t="str">
        <f t="shared" si="3"/>
        <v/>
      </c>
      <c r="V30" s="17" t="str">
        <f t="shared" si="4"/>
        <v/>
      </c>
      <c r="W30" s="94" t="str">
        <f t="shared" si="5"/>
        <v/>
      </c>
      <c r="X30" s="93"/>
      <c r="Y30" s="16"/>
      <c r="Z30" s="16"/>
      <c r="AA30" s="17" t="str">
        <f t="shared" si="6"/>
        <v/>
      </c>
      <c r="AB30" s="17" t="str">
        <f t="shared" si="7"/>
        <v/>
      </c>
      <c r="AC30" s="94" t="str">
        <f t="shared" si="8"/>
        <v/>
      </c>
      <c r="AD30" s="99" t="str">
        <f t="shared" si="9"/>
        <v/>
      </c>
      <c r="AE30" s="17" t="str">
        <f>IF(AD30="","",LOOKUP(AD30,SETTINGS!$F$16:$F$56,SETTINGS!$H$16:$H$56))</f>
        <v/>
      </c>
      <c r="AF30" s="14" t="str">
        <f>IF(AE30="","",LOOKUP(AE30,SETTINGS!$G$4:$G$8,SETTINGS!$F$4:$F$8))</f>
        <v/>
      </c>
      <c r="AG30" s="29" t="str">
        <f t="shared" si="10"/>
        <v/>
      </c>
    </row>
    <row r="31" spans="1:33" x14ac:dyDescent="0.25">
      <c r="A31" s="28">
        <v>22</v>
      </c>
      <c r="B31" s="77">
        <f>INPUT!B30</f>
        <v>0</v>
      </c>
      <c r="C31" s="93"/>
      <c r="D31" s="16"/>
      <c r="E31" s="16"/>
      <c r="F31" s="16"/>
      <c r="G31" s="16"/>
      <c r="H31" s="16"/>
      <c r="I31" s="16"/>
      <c r="J31" s="16"/>
      <c r="K31" s="16"/>
      <c r="L31" s="16"/>
      <c r="M31" s="17" t="str">
        <f t="shared" si="0"/>
        <v/>
      </c>
      <c r="N31" s="17" t="str">
        <f t="shared" si="1"/>
        <v/>
      </c>
      <c r="O31" s="94" t="str">
        <f t="shared" si="2"/>
        <v/>
      </c>
      <c r="P31" s="93"/>
      <c r="Q31" s="16"/>
      <c r="R31" s="16"/>
      <c r="S31" s="16"/>
      <c r="T31" s="16"/>
      <c r="U31" s="17" t="str">
        <f t="shared" si="3"/>
        <v/>
      </c>
      <c r="V31" s="17" t="str">
        <f t="shared" si="4"/>
        <v/>
      </c>
      <c r="W31" s="94" t="str">
        <f t="shared" si="5"/>
        <v/>
      </c>
      <c r="X31" s="93"/>
      <c r="Y31" s="16"/>
      <c r="Z31" s="16"/>
      <c r="AA31" s="17" t="str">
        <f t="shared" si="6"/>
        <v/>
      </c>
      <c r="AB31" s="17" t="str">
        <f t="shared" si="7"/>
        <v/>
      </c>
      <c r="AC31" s="94" t="str">
        <f t="shared" si="8"/>
        <v/>
      </c>
      <c r="AD31" s="99" t="str">
        <f t="shared" si="9"/>
        <v/>
      </c>
      <c r="AE31" s="17" t="str">
        <f>IF(AD31="","",LOOKUP(AD31,SETTINGS!$F$16:$F$56,SETTINGS!$H$16:$H$56))</f>
        <v/>
      </c>
      <c r="AF31" s="14" t="str">
        <f>IF(AE31="","",LOOKUP(AE31,SETTINGS!$G$4:$G$8,SETTINGS!$F$4:$F$8))</f>
        <v/>
      </c>
      <c r="AG31" s="29" t="str">
        <f t="shared" si="10"/>
        <v/>
      </c>
    </row>
    <row r="32" spans="1:33" x14ac:dyDescent="0.25">
      <c r="A32" s="28">
        <v>23</v>
      </c>
      <c r="B32" s="77">
        <f>INPUT!B31</f>
        <v>0</v>
      </c>
      <c r="C32" s="93"/>
      <c r="D32" s="16"/>
      <c r="E32" s="16"/>
      <c r="F32" s="16"/>
      <c r="G32" s="16"/>
      <c r="H32" s="16"/>
      <c r="I32" s="16"/>
      <c r="J32" s="16"/>
      <c r="K32" s="16"/>
      <c r="L32" s="16"/>
      <c r="M32" s="17" t="str">
        <f t="shared" si="0"/>
        <v/>
      </c>
      <c r="N32" s="17" t="str">
        <f t="shared" si="1"/>
        <v/>
      </c>
      <c r="O32" s="94" t="str">
        <f t="shared" si="2"/>
        <v/>
      </c>
      <c r="P32" s="93"/>
      <c r="Q32" s="16"/>
      <c r="R32" s="16"/>
      <c r="S32" s="16"/>
      <c r="T32" s="16"/>
      <c r="U32" s="17" t="str">
        <f t="shared" si="3"/>
        <v/>
      </c>
      <c r="V32" s="17" t="str">
        <f t="shared" si="4"/>
        <v/>
      </c>
      <c r="W32" s="94" t="str">
        <f t="shared" si="5"/>
        <v/>
      </c>
      <c r="X32" s="93"/>
      <c r="Y32" s="16"/>
      <c r="Z32" s="16"/>
      <c r="AA32" s="17" t="str">
        <f t="shared" si="6"/>
        <v/>
      </c>
      <c r="AB32" s="17" t="str">
        <f t="shared" si="7"/>
        <v/>
      </c>
      <c r="AC32" s="94" t="str">
        <f t="shared" si="8"/>
        <v/>
      </c>
      <c r="AD32" s="99" t="str">
        <f t="shared" si="9"/>
        <v/>
      </c>
      <c r="AE32" s="17" t="str">
        <f>IF(AD32="","",LOOKUP(AD32,SETTINGS!$F$16:$F$56,SETTINGS!$H$16:$H$56))</f>
        <v/>
      </c>
      <c r="AF32" s="14" t="str">
        <f>IF(AE32="","",LOOKUP(AE32,SETTINGS!$G$4:$G$8,SETTINGS!$F$4:$F$8))</f>
        <v/>
      </c>
      <c r="AG32" s="29" t="str">
        <f t="shared" si="10"/>
        <v/>
      </c>
    </row>
    <row r="33" spans="1:33" x14ac:dyDescent="0.25">
      <c r="A33" s="28">
        <v>24</v>
      </c>
      <c r="B33" s="77">
        <f>INPUT!B32</f>
        <v>0</v>
      </c>
      <c r="C33" s="93"/>
      <c r="D33" s="16"/>
      <c r="E33" s="16"/>
      <c r="F33" s="16"/>
      <c r="G33" s="16"/>
      <c r="H33" s="16"/>
      <c r="I33" s="16"/>
      <c r="J33" s="16"/>
      <c r="K33" s="16"/>
      <c r="L33" s="16"/>
      <c r="M33" s="17" t="str">
        <f t="shared" si="0"/>
        <v/>
      </c>
      <c r="N33" s="17" t="str">
        <f t="shared" si="1"/>
        <v/>
      </c>
      <c r="O33" s="94" t="str">
        <f t="shared" si="2"/>
        <v/>
      </c>
      <c r="P33" s="93"/>
      <c r="Q33" s="16"/>
      <c r="R33" s="16"/>
      <c r="S33" s="16"/>
      <c r="T33" s="16"/>
      <c r="U33" s="17" t="str">
        <f t="shared" si="3"/>
        <v/>
      </c>
      <c r="V33" s="17" t="str">
        <f t="shared" si="4"/>
        <v/>
      </c>
      <c r="W33" s="94" t="str">
        <f t="shared" si="5"/>
        <v/>
      </c>
      <c r="X33" s="93"/>
      <c r="Y33" s="16"/>
      <c r="Z33" s="16"/>
      <c r="AA33" s="17" t="str">
        <f t="shared" si="6"/>
        <v/>
      </c>
      <c r="AB33" s="17" t="str">
        <f t="shared" si="7"/>
        <v/>
      </c>
      <c r="AC33" s="94" t="str">
        <f t="shared" si="8"/>
        <v/>
      </c>
      <c r="AD33" s="99" t="str">
        <f t="shared" si="9"/>
        <v/>
      </c>
      <c r="AE33" s="17" t="str">
        <f>IF(AD33="","",LOOKUP(AD33,SETTINGS!$F$16:$F$56,SETTINGS!$H$16:$H$56))</f>
        <v/>
      </c>
      <c r="AF33" s="14" t="str">
        <f>IF(AE33="","",LOOKUP(AE33,SETTINGS!$G$4:$G$8,SETTINGS!$F$4:$F$8))</f>
        <v/>
      </c>
      <c r="AG33" s="29" t="str">
        <f t="shared" si="10"/>
        <v/>
      </c>
    </row>
    <row r="34" spans="1:33" x14ac:dyDescent="0.25">
      <c r="A34" s="28">
        <v>25</v>
      </c>
      <c r="B34" s="77">
        <f>INPUT!B33</f>
        <v>0</v>
      </c>
      <c r="C34" s="93"/>
      <c r="D34" s="16"/>
      <c r="E34" s="16"/>
      <c r="F34" s="16"/>
      <c r="G34" s="16"/>
      <c r="H34" s="16"/>
      <c r="I34" s="16"/>
      <c r="J34" s="16"/>
      <c r="K34" s="16"/>
      <c r="L34" s="16"/>
      <c r="M34" s="17" t="str">
        <f t="shared" si="0"/>
        <v/>
      </c>
      <c r="N34" s="17" t="str">
        <f t="shared" si="1"/>
        <v/>
      </c>
      <c r="O34" s="94" t="str">
        <f t="shared" si="2"/>
        <v/>
      </c>
      <c r="P34" s="93"/>
      <c r="Q34" s="16"/>
      <c r="R34" s="16"/>
      <c r="S34" s="16"/>
      <c r="T34" s="16"/>
      <c r="U34" s="17" t="str">
        <f t="shared" si="3"/>
        <v/>
      </c>
      <c r="V34" s="17" t="str">
        <f t="shared" si="4"/>
        <v/>
      </c>
      <c r="W34" s="94" t="str">
        <f t="shared" si="5"/>
        <v/>
      </c>
      <c r="X34" s="93"/>
      <c r="Y34" s="16"/>
      <c r="Z34" s="16"/>
      <c r="AA34" s="17" t="str">
        <f t="shared" si="6"/>
        <v/>
      </c>
      <c r="AB34" s="17" t="str">
        <f t="shared" si="7"/>
        <v/>
      </c>
      <c r="AC34" s="94" t="str">
        <f t="shared" si="8"/>
        <v/>
      </c>
      <c r="AD34" s="99" t="str">
        <f t="shared" si="9"/>
        <v/>
      </c>
      <c r="AE34" s="17" t="str">
        <f>IF(AD34="","",LOOKUP(AD34,SETTINGS!$F$16:$F$56,SETTINGS!$H$16:$H$56))</f>
        <v/>
      </c>
      <c r="AF34" s="14" t="str">
        <f>IF(AE34="","",LOOKUP(AE34,SETTINGS!$G$4:$G$8,SETTINGS!$F$4:$F$8))</f>
        <v/>
      </c>
      <c r="AG34" s="29" t="str">
        <f t="shared" si="10"/>
        <v/>
      </c>
    </row>
    <row r="35" spans="1:33" x14ac:dyDescent="0.25">
      <c r="A35" s="28">
        <v>26</v>
      </c>
      <c r="B35" s="77">
        <f>INPUT!B34</f>
        <v>0</v>
      </c>
      <c r="C35" s="93"/>
      <c r="D35" s="16"/>
      <c r="E35" s="16"/>
      <c r="F35" s="16"/>
      <c r="G35" s="16"/>
      <c r="H35" s="16"/>
      <c r="I35" s="16"/>
      <c r="J35" s="16"/>
      <c r="K35" s="16"/>
      <c r="L35" s="16"/>
      <c r="M35" s="17" t="str">
        <f t="shared" si="0"/>
        <v/>
      </c>
      <c r="N35" s="17" t="str">
        <f t="shared" si="1"/>
        <v/>
      </c>
      <c r="O35" s="94" t="str">
        <f t="shared" si="2"/>
        <v/>
      </c>
      <c r="P35" s="93"/>
      <c r="Q35" s="16"/>
      <c r="R35" s="16"/>
      <c r="S35" s="16"/>
      <c r="T35" s="16"/>
      <c r="U35" s="17" t="str">
        <f t="shared" si="3"/>
        <v/>
      </c>
      <c r="V35" s="17" t="str">
        <f t="shared" si="4"/>
        <v/>
      </c>
      <c r="W35" s="94" t="str">
        <f t="shared" si="5"/>
        <v/>
      </c>
      <c r="X35" s="93"/>
      <c r="Y35" s="16"/>
      <c r="Z35" s="16"/>
      <c r="AA35" s="17" t="str">
        <f t="shared" si="6"/>
        <v/>
      </c>
      <c r="AB35" s="17" t="str">
        <f t="shared" si="7"/>
        <v/>
      </c>
      <c r="AC35" s="94" t="str">
        <f t="shared" si="8"/>
        <v/>
      </c>
      <c r="AD35" s="99" t="str">
        <f t="shared" si="9"/>
        <v/>
      </c>
      <c r="AE35" s="17" t="str">
        <f>IF(AD35="","",LOOKUP(AD35,SETTINGS!$F$16:$F$56,SETTINGS!$H$16:$H$56))</f>
        <v/>
      </c>
      <c r="AF35" s="14" t="str">
        <f>IF(AE35="","",LOOKUP(AE35,SETTINGS!$G$4:$G$8,SETTINGS!$F$4:$F$8))</f>
        <v/>
      </c>
      <c r="AG35" s="29" t="str">
        <f t="shared" si="10"/>
        <v/>
      </c>
    </row>
    <row r="36" spans="1:33" x14ac:dyDescent="0.25">
      <c r="A36" s="28">
        <v>27</v>
      </c>
      <c r="B36" s="77">
        <f>INPUT!B35</f>
        <v>0</v>
      </c>
      <c r="C36" s="93"/>
      <c r="D36" s="16"/>
      <c r="E36" s="16"/>
      <c r="F36" s="16"/>
      <c r="G36" s="16"/>
      <c r="H36" s="16"/>
      <c r="I36" s="16"/>
      <c r="J36" s="16"/>
      <c r="K36" s="16"/>
      <c r="L36" s="16"/>
      <c r="M36" s="17" t="str">
        <f t="shared" si="0"/>
        <v/>
      </c>
      <c r="N36" s="17" t="str">
        <f t="shared" si="1"/>
        <v/>
      </c>
      <c r="O36" s="94" t="str">
        <f t="shared" si="2"/>
        <v/>
      </c>
      <c r="P36" s="93"/>
      <c r="Q36" s="16"/>
      <c r="R36" s="16"/>
      <c r="S36" s="16"/>
      <c r="T36" s="16"/>
      <c r="U36" s="17" t="str">
        <f t="shared" si="3"/>
        <v/>
      </c>
      <c r="V36" s="17" t="str">
        <f t="shared" si="4"/>
        <v/>
      </c>
      <c r="W36" s="94" t="str">
        <f t="shared" si="5"/>
        <v/>
      </c>
      <c r="X36" s="93"/>
      <c r="Y36" s="16"/>
      <c r="Z36" s="16"/>
      <c r="AA36" s="17" t="str">
        <f t="shared" si="6"/>
        <v/>
      </c>
      <c r="AB36" s="17" t="str">
        <f t="shared" si="7"/>
        <v/>
      </c>
      <c r="AC36" s="94" t="str">
        <f t="shared" si="8"/>
        <v/>
      </c>
      <c r="AD36" s="99" t="str">
        <f t="shared" si="9"/>
        <v/>
      </c>
      <c r="AE36" s="17" t="str">
        <f>IF(AD36="","",LOOKUP(AD36,SETTINGS!$F$16:$F$56,SETTINGS!$H$16:$H$56))</f>
        <v/>
      </c>
      <c r="AF36" s="14" t="str">
        <f>IF(AE36="","",LOOKUP(AE36,SETTINGS!$G$4:$G$8,SETTINGS!$F$4:$F$8))</f>
        <v/>
      </c>
      <c r="AG36" s="29" t="str">
        <f t="shared" si="10"/>
        <v/>
      </c>
    </row>
    <row r="37" spans="1:33" x14ac:dyDescent="0.25">
      <c r="A37" s="28">
        <v>28</v>
      </c>
      <c r="B37" s="77">
        <f>INPUT!B36</f>
        <v>0</v>
      </c>
      <c r="C37" s="93"/>
      <c r="D37" s="16"/>
      <c r="E37" s="16"/>
      <c r="F37" s="16"/>
      <c r="G37" s="16"/>
      <c r="H37" s="16"/>
      <c r="I37" s="16"/>
      <c r="J37" s="16"/>
      <c r="K37" s="16"/>
      <c r="L37" s="16"/>
      <c r="M37" s="17" t="str">
        <f t="shared" si="0"/>
        <v/>
      </c>
      <c r="N37" s="17" t="str">
        <f t="shared" si="1"/>
        <v/>
      </c>
      <c r="O37" s="94" t="str">
        <f t="shared" si="2"/>
        <v/>
      </c>
      <c r="P37" s="93"/>
      <c r="Q37" s="16"/>
      <c r="R37" s="16"/>
      <c r="S37" s="16"/>
      <c r="T37" s="16"/>
      <c r="U37" s="17" t="str">
        <f t="shared" si="3"/>
        <v/>
      </c>
      <c r="V37" s="17" t="str">
        <f t="shared" si="4"/>
        <v/>
      </c>
      <c r="W37" s="94" t="str">
        <f t="shared" si="5"/>
        <v/>
      </c>
      <c r="X37" s="93"/>
      <c r="Y37" s="16"/>
      <c r="Z37" s="16"/>
      <c r="AA37" s="17" t="str">
        <f t="shared" si="6"/>
        <v/>
      </c>
      <c r="AB37" s="17" t="str">
        <f t="shared" si="7"/>
        <v/>
      </c>
      <c r="AC37" s="94" t="str">
        <f t="shared" si="8"/>
        <v/>
      </c>
      <c r="AD37" s="99" t="str">
        <f t="shared" si="9"/>
        <v/>
      </c>
      <c r="AE37" s="17" t="str">
        <f>IF(AD37="","",LOOKUP(AD37,SETTINGS!$F$16:$F$56,SETTINGS!$H$16:$H$56))</f>
        <v/>
      </c>
      <c r="AF37" s="14" t="str">
        <f>IF(AE37="","",LOOKUP(AE37,SETTINGS!$G$4:$G$8,SETTINGS!$F$4:$F$8))</f>
        <v/>
      </c>
      <c r="AG37" s="29" t="str">
        <f t="shared" si="10"/>
        <v/>
      </c>
    </row>
    <row r="38" spans="1:33" x14ac:dyDescent="0.25">
      <c r="A38" s="28">
        <v>29</v>
      </c>
      <c r="B38" s="77">
        <f>INPUT!B37</f>
        <v>0</v>
      </c>
      <c r="C38" s="93"/>
      <c r="D38" s="16"/>
      <c r="E38" s="16"/>
      <c r="F38" s="16"/>
      <c r="G38" s="16"/>
      <c r="H38" s="16"/>
      <c r="I38" s="16"/>
      <c r="J38" s="16"/>
      <c r="K38" s="16"/>
      <c r="L38" s="16"/>
      <c r="M38" s="17" t="str">
        <f t="shared" si="0"/>
        <v/>
      </c>
      <c r="N38" s="17" t="str">
        <f t="shared" si="1"/>
        <v/>
      </c>
      <c r="O38" s="94" t="str">
        <f t="shared" si="2"/>
        <v/>
      </c>
      <c r="P38" s="93"/>
      <c r="Q38" s="16"/>
      <c r="R38" s="16"/>
      <c r="S38" s="16"/>
      <c r="T38" s="16"/>
      <c r="U38" s="17" t="str">
        <f t="shared" si="3"/>
        <v/>
      </c>
      <c r="V38" s="17" t="str">
        <f t="shared" si="4"/>
        <v/>
      </c>
      <c r="W38" s="94" t="str">
        <f t="shared" si="5"/>
        <v/>
      </c>
      <c r="X38" s="93"/>
      <c r="Y38" s="16"/>
      <c r="Z38" s="16"/>
      <c r="AA38" s="17" t="str">
        <f t="shared" si="6"/>
        <v/>
      </c>
      <c r="AB38" s="17" t="str">
        <f t="shared" si="7"/>
        <v/>
      </c>
      <c r="AC38" s="94" t="str">
        <f t="shared" si="8"/>
        <v/>
      </c>
      <c r="AD38" s="99" t="str">
        <f t="shared" si="9"/>
        <v/>
      </c>
      <c r="AE38" s="17" t="str">
        <f>IF(AD38="","",LOOKUP(AD38,SETTINGS!$F$16:$F$56,SETTINGS!$H$16:$H$56))</f>
        <v/>
      </c>
      <c r="AF38" s="14" t="str">
        <f>IF(AE38="","",LOOKUP(AE38,SETTINGS!$G$4:$G$8,SETTINGS!$F$4:$F$8))</f>
        <v/>
      </c>
      <c r="AG38" s="29" t="str">
        <f t="shared" si="10"/>
        <v/>
      </c>
    </row>
    <row r="39" spans="1:33" ht="15.75" thickBot="1" x14ac:dyDescent="0.3">
      <c r="A39" s="30">
        <v>30</v>
      </c>
      <c r="B39" s="78">
        <f>INPUT!B38</f>
        <v>0</v>
      </c>
      <c r="C39" s="95"/>
      <c r="D39" s="62"/>
      <c r="E39" s="62"/>
      <c r="F39" s="62"/>
      <c r="G39" s="62"/>
      <c r="H39" s="62"/>
      <c r="I39" s="62"/>
      <c r="J39" s="62"/>
      <c r="K39" s="62"/>
      <c r="L39" s="62"/>
      <c r="M39" s="63" t="str">
        <f t="shared" si="0"/>
        <v/>
      </c>
      <c r="N39" s="63" t="str">
        <f t="shared" si="1"/>
        <v/>
      </c>
      <c r="O39" s="96" t="str">
        <f t="shared" si="2"/>
        <v/>
      </c>
      <c r="P39" s="95"/>
      <c r="Q39" s="62"/>
      <c r="R39" s="62"/>
      <c r="S39" s="62"/>
      <c r="T39" s="62"/>
      <c r="U39" s="63" t="str">
        <f t="shared" si="3"/>
        <v/>
      </c>
      <c r="V39" s="63" t="str">
        <f t="shared" si="4"/>
        <v/>
      </c>
      <c r="W39" s="96" t="str">
        <f t="shared" si="5"/>
        <v/>
      </c>
      <c r="X39" s="95"/>
      <c r="Y39" s="62"/>
      <c r="Z39" s="62"/>
      <c r="AA39" s="63" t="str">
        <f t="shared" si="6"/>
        <v/>
      </c>
      <c r="AB39" s="63" t="str">
        <f t="shared" si="7"/>
        <v/>
      </c>
      <c r="AC39" s="96" t="str">
        <f t="shared" si="8"/>
        <v/>
      </c>
      <c r="AD39" s="100" t="str">
        <f t="shared" si="9"/>
        <v/>
      </c>
      <c r="AE39" s="63" t="str">
        <f>IF(AD39="","",LOOKUP(AD39,SETTINGS!$F$16:$F$56,SETTINGS!$H$16:$H$56))</f>
        <v/>
      </c>
      <c r="AF39" s="32" t="str">
        <f>IF(AE39="","",LOOKUP(AE39,SETTINGS!$G$4:$G$8,SETTINGS!$F$4:$F$8))</f>
        <v/>
      </c>
      <c r="AG39" s="34" t="str">
        <f t="shared" si="10"/>
        <v/>
      </c>
    </row>
  </sheetData>
  <mergeCells count="47">
    <mergeCell ref="B3:C4"/>
    <mergeCell ref="A1:AJ1"/>
    <mergeCell ref="A6:A8"/>
    <mergeCell ref="B6:B8"/>
    <mergeCell ref="C6:O6"/>
    <mergeCell ref="P6:W6"/>
    <mergeCell ref="X6:AC6"/>
    <mergeCell ref="AD6:AD8"/>
    <mergeCell ref="AE6:AE8"/>
    <mergeCell ref="AF6:AF8"/>
    <mergeCell ref="AG6:AG8"/>
    <mergeCell ref="X7:X8"/>
    <mergeCell ref="Y7:Y8"/>
    <mergeCell ref="Z7:Z8"/>
    <mergeCell ref="AA7:AA8"/>
    <mergeCell ref="AB7:AB8"/>
    <mergeCell ref="AC7:AC8"/>
    <mergeCell ref="C7:C8"/>
    <mergeCell ref="D7:D8"/>
    <mergeCell ref="E7:E8"/>
    <mergeCell ref="F7:F8"/>
    <mergeCell ref="G7:G8"/>
    <mergeCell ref="N7:N8"/>
    <mergeCell ref="O7:O8"/>
    <mergeCell ref="P7:P8"/>
    <mergeCell ref="Q7:Q8"/>
    <mergeCell ref="H7:H8"/>
    <mergeCell ref="I7:I8"/>
    <mergeCell ref="J7:J8"/>
    <mergeCell ref="K7:K8"/>
    <mergeCell ref="L7:L8"/>
    <mergeCell ref="W7:W8"/>
    <mergeCell ref="A3:A4"/>
    <mergeCell ref="D3:D4"/>
    <mergeCell ref="E3:F4"/>
    <mergeCell ref="G3:G4"/>
    <mergeCell ref="H3:I4"/>
    <mergeCell ref="J3:J4"/>
    <mergeCell ref="K3:L4"/>
    <mergeCell ref="M3:M4"/>
    <mergeCell ref="N3:U4"/>
    <mergeCell ref="R7:R8"/>
    <mergeCell ref="S7:S8"/>
    <mergeCell ref="T7:T8"/>
    <mergeCell ref="U7:U8"/>
    <mergeCell ref="V7:V8"/>
    <mergeCell ref="M7:M8"/>
  </mergeCells>
  <conditionalFormatting sqref="AE10:AE39">
    <cfRule type="cellIs" dxfId="7" priority="2" operator="lessThan">
      <formula>75</formula>
    </cfRule>
    <cfRule type="cellIs" dxfId="6" priority="3" operator="greaterThanOrEqual">
      <formula>75</formula>
    </cfRule>
  </conditionalFormatting>
  <dataValidations count="1">
    <dataValidation type="custom" allowBlank="1" showInputMessage="1" showErrorMessage="1" errorTitle="Invalid Score" error="Enter a score from 0 up to the HPS shown in row 9." promptTitle="Score Entry" prompt="Enter the learner's raw score." sqref="X10:Z39 P10:T39 C10:L39" xr:uid="{00000000-0002-0000-0100-000000000000}">
      <formula1>OR(C10="",AND(ISNUMBER(C10),C10&gt;=0,C10&lt;=C$9))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  <pageSetUpPr fitToPage="1"/>
  </sheetPr>
  <dimension ref="A1:AJ39"/>
  <sheetViews>
    <sheetView showGridLines="0" zoomScale="85" zoomScaleNormal="85" workbookViewId="0">
      <pane xSplit="2" ySplit="9" topLeftCell="C31" activePane="bottomRight" state="frozen"/>
      <selection pane="topRight" activeCell="C1" sqref="C1"/>
      <selection pane="bottomLeft" activeCell="A10" sqref="A10"/>
      <selection pane="bottomRight" activeCell="C15" sqref="C15"/>
    </sheetView>
  </sheetViews>
  <sheetFormatPr defaultColWidth="8.7109375" defaultRowHeight="15" customHeight="1" x14ac:dyDescent="0.25"/>
  <cols>
    <col min="1" max="1" width="6" customWidth="1"/>
    <col min="2" max="2" width="35.7109375" customWidth="1"/>
    <col min="3" max="12" width="8" customWidth="1"/>
    <col min="13" max="15" width="10" customWidth="1"/>
    <col min="16" max="20" width="9" customWidth="1"/>
    <col min="21" max="23" width="10" customWidth="1"/>
    <col min="24" max="26" width="9" customWidth="1"/>
    <col min="27" max="29" width="10" customWidth="1"/>
    <col min="30" max="31" width="12" customWidth="1"/>
    <col min="32" max="32" width="28" customWidth="1"/>
    <col min="33" max="33" width="16" customWidth="1"/>
  </cols>
  <sheetData>
    <row r="1" spans="1:36" ht="27.75" customHeight="1" x14ac:dyDescent="0.25">
      <c r="A1" s="35" t="s">
        <v>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2" spans="1:36" ht="15" customHeight="1" thickBot="1" x14ac:dyDescent="0.3"/>
    <row r="3" spans="1:36" x14ac:dyDescent="0.25">
      <c r="A3" s="101" t="s">
        <v>27</v>
      </c>
      <c r="B3" s="102">
        <f>INPUT!H3</f>
        <v>0</v>
      </c>
      <c r="C3" s="102"/>
      <c r="D3" s="114" t="s">
        <v>6</v>
      </c>
      <c r="E3" s="103" t="str">
        <f>INPUT!H4</f>
        <v>Grade 7 – Section A</v>
      </c>
      <c r="F3" s="103"/>
      <c r="G3" s="104" t="s">
        <v>8</v>
      </c>
      <c r="H3" s="102">
        <f>INPUT!B5</f>
        <v>0</v>
      </c>
      <c r="I3" s="102"/>
      <c r="J3" s="105" t="s">
        <v>9</v>
      </c>
      <c r="K3" s="102">
        <f>INPUT!E5</f>
        <v>0</v>
      </c>
      <c r="L3" s="102"/>
      <c r="M3" s="54" t="s">
        <v>10</v>
      </c>
      <c r="N3" s="102" t="str">
        <f>INPUT!H5</f>
        <v>AP / English / Filipino / Mathematics / Science / GMRC / Values Education</v>
      </c>
      <c r="O3" s="102"/>
      <c r="P3" s="102"/>
      <c r="Q3" s="102"/>
      <c r="R3" s="102"/>
      <c r="S3" s="102"/>
      <c r="T3" s="106"/>
    </row>
    <row r="4" spans="1:36" ht="15" customHeight="1" thickBot="1" x14ac:dyDescent="0.3">
      <c r="A4" s="107"/>
      <c r="B4" s="108"/>
      <c r="C4" s="108"/>
      <c r="D4" s="115"/>
      <c r="E4" s="109"/>
      <c r="F4" s="109"/>
      <c r="G4" s="110"/>
      <c r="H4" s="108"/>
      <c r="I4" s="108"/>
      <c r="J4" s="111"/>
      <c r="K4" s="108"/>
      <c r="L4" s="108"/>
      <c r="M4" s="112"/>
      <c r="N4" s="108"/>
      <c r="O4" s="108"/>
      <c r="P4" s="108"/>
      <c r="Q4" s="108"/>
      <c r="R4" s="108"/>
      <c r="S4" s="108"/>
      <c r="T4" s="113"/>
    </row>
    <row r="5" spans="1:36" ht="15" customHeight="1" thickBot="1" x14ac:dyDescent="0.3"/>
    <row r="6" spans="1:36" ht="15" customHeight="1" x14ac:dyDescent="0.25">
      <c r="A6" s="55" t="s">
        <v>14</v>
      </c>
      <c r="B6" s="57" t="s">
        <v>15</v>
      </c>
      <c r="C6" s="69" t="s">
        <v>28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79"/>
      <c r="P6" s="55" t="s">
        <v>29</v>
      </c>
      <c r="Q6" s="56"/>
      <c r="R6" s="56"/>
      <c r="S6" s="56"/>
      <c r="T6" s="56"/>
      <c r="U6" s="56"/>
      <c r="V6" s="56"/>
      <c r="W6" s="57"/>
      <c r="X6" s="55" t="s">
        <v>30</v>
      </c>
      <c r="Y6" s="56"/>
      <c r="Z6" s="56"/>
      <c r="AA6" s="56"/>
      <c r="AB6" s="56"/>
      <c r="AC6" s="57"/>
      <c r="AD6" s="55" t="s">
        <v>31</v>
      </c>
      <c r="AE6" s="56" t="s">
        <v>32</v>
      </c>
      <c r="AF6" s="56" t="s">
        <v>33</v>
      </c>
      <c r="AG6" s="57" t="s">
        <v>34</v>
      </c>
    </row>
    <row r="7" spans="1:36" x14ac:dyDescent="0.25">
      <c r="A7" s="58"/>
      <c r="B7" s="59"/>
      <c r="C7" s="70">
        <v>1</v>
      </c>
      <c r="D7" s="39">
        <v>2</v>
      </c>
      <c r="E7" s="39">
        <v>3</v>
      </c>
      <c r="F7" s="39">
        <v>4</v>
      </c>
      <c r="G7" s="39">
        <v>5</v>
      </c>
      <c r="H7" s="39">
        <v>6</v>
      </c>
      <c r="I7" s="39">
        <v>7</v>
      </c>
      <c r="J7" s="39">
        <v>8</v>
      </c>
      <c r="K7" s="39">
        <v>9</v>
      </c>
      <c r="L7" s="39">
        <v>10</v>
      </c>
      <c r="M7" s="39" t="s">
        <v>35</v>
      </c>
      <c r="N7" s="39" t="s">
        <v>36</v>
      </c>
      <c r="O7" s="80" t="s">
        <v>37</v>
      </c>
      <c r="P7" s="86">
        <v>1</v>
      </c>
      <c r="Q7" s="39">
        <v>2</v>
      </c>
      <c r="R7" s="39">
        <v>3</v>
      </c>
      <c r="S7" s="39">
        <v>4</v>
      </c>
      <c r="T7" s="39">
        <v>5</v>
      </c>
      <c r="U7" s="39" t="s">
        <v>35</v>
      </c>
      <c r="V7" s="39" t="s">
        <v>36</v>
      </c>
      <c r="W7" s="87" t="s">
        <v>37</v>
      </c>
      <c r="X7" s="86" t="s">
        <v>38</v>
      </c>
      <c r="Y7" s="39" t="s">
        <v>39</v>
      </c>
      <c r="Z7" s="39" t="s">
        <v>40</v>
      </c>
      <c r="AA7" s="39" t="s">
        <v>35</v>
      </c>
      <c r="AB7" s="39" t="s">
        <v>36</v>
      </c>
      <c r="AC7" s="87" t="s">
        <v>37</v>
      </c>
      <c r="AD7" s="58"/>
      <c r="AE7" s="45"/>
      <c r="AF7" s="45"/>
      <c r="AG7" s="59"/>
    </row>
    <row r="8" spans="1:36" x14ac:dyDescent="0.25">
      <c r="A8" s="58"/>
      <c r="B8" s="59"/>
      <c r="C8" s="7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81"/>
      <c r="P8" s="88"/>
      <c r="Q8" s="40"/>
      <c r="R8" s="40"/>
      <c r="S8" s="40"/>
      <c r="T8" s="40"/>
      <c r="U8" s="40"/>
      <c r="V8" s="40"/>
      <c r="W8" s="89"/>
      <c r="X8" s="88"/>
      <c r="Y8" s="40"/>
      <c r="Z8" s="40"/>
      <c r="AA8" s="40"/>
      <c r="AB8" s="40"/>
      <c r="AC8" s="89"/>
      <c r="AD8" s="58"/>
      <c r="AE8" s="45"/>
      <c r="AF8" s="45"/>
      <c r="AG8" s="59"/>
    </row>
    <row r="9" spans="1:36" ht="15.75" thickBot="1" x14ac:dyDescent="0.3">
      <c r="A9" s="66" t="s">
        <v>41</v>
      </c>
      <c r="B9" s="68" t="s">
        <v>42</v>
      </c>
      <c r="C9" s="72">
        <v>10</v>
      </c>
      <c r="D9" s="67">
        <v>10</v>
      </c>
      <c r="E9" s="67">
        <v>10</v>
      </c>
      <c r="F9" s="67">
        <v>10</v>
      </c>
      <c r="G9" s="67">
        <v>10</v>
      </c>
      <c r="H9" s="67">
        <v>10</v>
      </c>
      <c r="I9" s="67">
        <v>10</v>
      </c>
      <c r="J9" s="67">
        <v>10</v>
      </c>
      <c r="K9" s="67">
        <v>10</v>
      </c>
      <c r="L9" s="67">
        <v>10</v>
      </c>
      <c r="M9" s="67">
        <f>SUM(C9:L9)</f>
        <v>100</v>
      </c>
      <c r="N9" s="67">
        <v>100</v>
      </c>
      <c r="O9" s="82">
        <f>INDEX(SETTINGS!$B$4:$B$11,MATCH(INPUT!$H$5,SETTINGS!$A$4:$A$11,0))</f>
        <v>0.2</v>
      </c>
      <c r="P9" s="66">
        <v>25</v>
      </c>
      <c r="Q9" s="67">
        <v>25</v>
      </c>
      <c r="R9" s="67">
        <v>25</v>
      </c>
      <c r="S9" s="67">
        <v>25</v>
      </c>
      <c r="T9" s="67">
        <v>25</v>
      </c>
      <c r="U9" s="67">
        <f>SUM(P9:T9)</f>
        <v>125</v>
      </c>
      <c r="V9" s="67">
        <v>100</v>
      </c>
      <c r="W9" s="90">
        <f>INDEX(SETTINGS!$C$4:$C$11,MATCH(INPUT!$H$5,SETTINGS!$A$4:$A$11,0))</f>
        <v>0.5</v>
      </c>
      <c r="X9" s="66">
        <v>40</v>
      </c>
      <c r="Y9" s="67">
        <v>40</v>
      </c>
      <c r="Z9" s="67">
        <v>50</v>
      </c>
      <c r="AA9" s="67">
        <f>SUM(X9:Z9)</f>
        <v>130</v>
      </c>
      <c r="AB9" s="67">
        <v>100</v>
      </c>
      <c r="AC9" s="90">
        <f>INDEX(SETTINGS!$D$4:$D$11,MATCH(INPUT!$H$5,SETTINGS!$A$4:$A$11,0))</f>
        <v>0.3</v>
      </c>
      <c r="AD9" s="66"/>
      <c r="AE9" s="67"/>
      <c r="AF9" s="67"/>
      <c r="AG9" s="68"/>
    </row>
    <row r="10" spans="1:36" x14ac:dyDescent="0.25">
      <c r="A10" s="26">
        <v>1</v>
      </c>
      <c r="B10" s="76">
        <f>INPUT!B9</f>
        <v>0</v>
      </c>
      <c r="C10" s="73"/>
      <c r="D10" s="64"/>
      <c r="E10" s="64"/>
      <c r="F10" s="64"/>
      <c r="G10" s="64"/>
      <c r="H10" s="64"/>
      <c r="I10" s="64"/>
      <c r="J10" s="64"/>
      <c r="K10" s="64"/>
      <c r="L10" s="64"/>
      <c r="M10" s="65" t="str">
        <f t="shared" ref="M10:M39" si="0">IF(COUNT(C10:L10)=0,"",SUM(C10:L10))</f>
        <v/>
      </c>
      <c r="N10" s="65" t="str">
        <f t="shared" ref="N10:N39" si="1">IFERROR(M10/M$9*100,"")</f>
        <v/>
      </c>
      <c r="O10" s="83" t="str">
        <f t="shared" ref="O10:O39" si="2">IF(N10="","",ROUND(N10*O$9,2))</f>
        <v/>
      </c>
      <c r="P10" s="91"/>
      <c r="Q10" s="64"/>
      <c r="R10" s="64"/>
      <c r="S10" s="64"/>
      <c r="T10" s="64"/>
      <c r="U10" s="65" t="str">
        <f t="shared" ref="U10:U39" si="3">IF(COUNT(P10:T10)=0,"",SUM(P10:T10))</f>
        <v/>
      </c>
      <c r="V10" s="65" t="str">
        <f t="shared" ref="V10:V39" si="4">IFERROR(U10/U$9*100,"")</f>
        <v/>
      </c>
      <c r="W10" s="92" t="str">
        <f t="shared" ref="W10:W39" si="5">IF(V10="","",ROUND(V10*W$9,2))</f>
        <v/>
      </c>
      <c r="X10" s="91"/>
      <c r="Y10" s="64"/>
      <c r="Z10" s="64"/>
      <c r="AA10" s="65" t="str">
        <f t="shared" ref="AA10:AA39" si="6">IF(COUNT(X10:Z10)=0,"",SUM(X10:Z10))</f>
        <v/>
      </c>
      <c r="AB10" s="65" t="str">
        <f t="shared" ref="AB10:AB39" si="7">IFERROR(AA10/AA$9*100,"")</f>
        <v/>
      </c>
      <c r="AC10" s="92" t="str">
        <f t="shared" ref="AC10:AC39" si="8">IF(AB10="","",ROUND(AB10*AC$9,2))</f>
        <v/>
      </c>
      <c r="AD10" s="98" t="str">
        <f t="shared" ref="AD10:AD39" si="9">IF(COUNT(O10,W10,AC10)=0,"",ROUND(SUM(O10,W10,AC10),2))</f>
        <v/>
      </c>
      <c r="AE10" s="65" t="str">
        <f>IF(AD10="","",LOOKUP(AD10,SETTINGS!$F$16:$F$56,SETTINGS!$H$16:$H$56))</f>
        <v/>
      </c>
      <c r="AF10" s="20" t="str">
        <f>IF(AE10="","",LOOKUP(AE10,SETTINGS!$G$4:$G$8,SETTINGS!$F$4:$F$8))</f>
        <v/>
      </c>
      <c r="AG10" s="27" t="str">
        <f t="shared" ref="AG10:AG39" si="10">IF(AE10="","",IF(AE10&gt;=75,"PASSED","INTERVENTION"))</f>
        <v/>
      </c>
    </row>
    <row r="11" spans="1:36" x14ac:dyDescent="0.25">
      <c r="A11" s="28">
        <v>2</v>
      </c>
      <c r="B11" s="77">
        <f>INPUT!B10</f>
        <v>0</v>
      </c>
      <c r="C11" s="74"/>
      <c r="D11" s="16"/>
      <c r="E11" s="16"/>
      <c r="F11" s="16"/>
      <c r="G11" s="16"/>
      <c r="H11" s="16"/>
      <c r="I11" s="16"/>
      <c r="J11" s="16"/>
      <c r="K11" s="16"/>
      <c r="L11" s="16"/>
      <c r="M11" s="17" t="str">
        <f t="shared" si="0"/>
        <v/>
      </c>
      <c r="N11" s="17" t="str">
        <f t="shared" si="1"/>
        <v/>
      </c>
      <c r="O11" s="84" t="str">
        <f t="shared" si="2"/>
        <v/>
      </c>
      <c r="P11" s="93"/>
      <c r="Q11" s="16"/>
      <c r="R11" s="16"/>
      <c r="S11" s="16"/>
      <c r="T11" s="16"/>
      <c r="U11" s="17" t="str">
        <f t="shared" si="3"/>
        <v/>
      </c>
      <c r="V11" s="17" t="str">
        <f t="shared" si="4"/>
        <v/>
      </c>
      <c r="W11" s="94" t="str">
        <f t="shared" si="5"/>
        <v/>
      </c>
      <c r="X11" s="93"/>
      <c r="Y11" s="16"/>
      <c r="Z11" s="16"/>
      <c r="AA11" s="17" t="str">
        <f t="shared" si="6"/>
        <v/>
      </c>
      <c r="AB11" s="17" t="str">
        <f t="shared" si="7"/>
        <v/>
      </c>
      <c r="AC11" s="94" t="str">
        <f t="shared" si="8"/>
        <v/>
      </c>
      <c r="AD11" s="99" t="str">
        <f t="shared" si="9"/>
        <v/>
      </c>
      <c r="AE11" s="17" t="str">
        <f>IF(AD11="","",LOOKUP(AD11,SETTINGS!$F$16:$F$56,SETTINGS!$H$16:$H$56))</f>
        <v/>
      </c>
      <c r="AF11" s="14" t="str">
        <f>IF(AE11="","",LOOKUP(AE11,SETTINGS!$G$4:$G$8,SETTINGS!$F$4:$F$8))</f>
        <v/>
      </c>
      <c r="AG11" s="29" t="str">
        <f t="shared" si="10"/>
        <v/>
      </c>
    </row>
    <row r="12" spans="1:36" x14ac:dyDescent="0.25">
      <c r="A12" s="28">
        <v>3</v>
      </c>
      <c r="B12" s="77">
        <f>INPUT!B11</f>
        <v>0</v>
      </c>
      <c r="C12" s="74"/>
      <c r="D12" s="16"/>
      <c r="E12" s="16"/>
      <c r="F12" s="16"/>
      <c r="G12" s="16"/>
      <c r="H12" s="16"/>
      <c r="I12" s="16"/>
      <c r="J12" s="16"/>
      <c r="K12" s="16"/>
      <c r="L12" s="16"/>
      <c r="M12" s="17" t="str">
        <f t="shared" si="0"/>
        <v/>
      </c>
      <c r="N12" s="17" t="str">
        <f t="shared" si="1"/>
        <v/>
      </c>
      <c r="O12" s="84" t="str">
        <f t="shared" si="2"/>
        <v/>
      </c>
      <c r="P12" s="93"/>
      <c r="Q12" s="16"/>
      <c r="R12" s="16"/>
      <c r="S12" s="16"/>
      <c r="T12" s="16"/>
      <c r="U12" s="17" t="str">
        <f t="shared" si="3"/>
        <v/>
      </c>
      <c r="V12" s="17" t="str">
        <f t="shared" si="4"/>
        <v/>
      </c>
      <c r="W12" s="94" t="str">
        <f t="shared" si="5"/>
        <v/>
      </c>
      <c r="X12" s="93"/>
      <c r="Y12" s="16"/>
      <c r="Z12" s="16"/>
      <c r="AA12" s="17" t="str">
        <f t="shared" si="6"/>
        <v/>
      </c>
      <c r="AB12" s="17" t="str">
        <f t="shared" si="7"/>
        <v/>
      </c>
      <c r="AC12" s="94" t="str">
        <f t="shared" si="8"/>
        <v/>
      </c>
      <c r="AD12" s="99" t="str">
        <f t="shared" si="9"/>
        <v/>
      </c>
      <c r="AE12" s="17" t="str">
        <f>IF(AD12="","",LOOKUP(AD12,SETTINGS!$F$16:$F$56,SETTINGS!$H$16:$H$56))</f>
        <v/>
      </c>
      <c r="AF12" s="14" t="str">
        <f>IF(AE12="","",LOOKUP(AE12,SETTINGS!$G$4:$G$8,SETTINGS!$F$4:$F$8))</f>
        <v/>
      </c>
      <c r="AG12" s="29" t="str">
        <f t="shared" si="10"/>
        <v/>
      </c>
    </row>
    <row r="13" spans="1:36" x14ac:dyDescent="0.25">
      <c r="A13" s="28">
        <v>4</v>
      </c>
      <c r="B13" s="77">
        <f>INPUT!B12</f>
        <v>0</v>
      </c>
      <c r="C13" s="74"/>
      <c r="D13" s="16"/>
      <c r="E13" s="16"/>
      <c r="F13" s="16"/>
      <c r="G13" s="16"/>
      <c r="H13" s="16"/>
      <c r="I13" s="16"/>
      <c r="J13" s="16"/>
      <c r="K13" s="16"/>
      <c r="L13" s="16"/>
      <c r="M13" s="17" t="str">
        <f t="shared" si="0"/>
        <v/>
      </c>
      <c r="N13" s="17" t="str">
        <f t="shared" si="1"/>
        <v/>
      </c>
      <c r="O13" s="84" t="str">
        <f t="shared" si="2"/>
        <v/>
      </c>
      <c r="P13" s="93"/>
      <c r="Q13" s="16"/>
      <c r="R13" s="16"/>
      <c r="S13" s="16"/>
      <c r="T13" s="16"/>
      <c r="U13" s="17" t="str">
        <f t="shared" si="3"/>
        <v/>
      </c>
      <c r="V13" s="17" t="str">
        <f t="shared" si="4"/>
        <v/>
      </c>
      <c r="W13" s="94" t="str">
        <f t="shared" si="5"/>
        <v/>
      </c>
      <c r="X13" s="93"/>
      <c r="Y13" s="16"/>
      <c r="Z13" s="16"/>
      <c r="AA13" s="17" t="str">
        <f t="shared" si="6"/>
        <v/>
      </c>
      <c r="AB13" s="17" t="str">
        <f t="shared" si="7"/>
        <v/>
      </c>
      <c r="AC13" s="94" t="str">
        <f t="shared" si="8"/>
        <v/>
      </c>
      <c r="AD13" s="99" t="str">
        <f t="shared" si="9"/>
        <v/>
      </c>
      <c r="AE13" s="17" t="str">
        <f>IF(AD13="","",LOOKUP(AD13,SETTINGS!$F$16:$F$56,SETTINGS!$H$16:$H$56))</f>
        <v/>
      </c>
      <c r="AF13" s="14" t="str">
        <f>IF(AE13="","",LOOKUP(AE13,SETTINGS!$G$4:$G$8,SETTINGS!$F$4:$F$8))</f>
        <v/>
      </c>
      <c r="AG13" s="29" t="str">
        <f t="shared" si="10"/>
        <v/>
      </c>
    </row>
    <row r="14" spans="1:36" x14ac:dyDescent="0.25">
      <c r="A14" s="28">
        <v>5</v>
      </c>
      <c r="B14" s="77">
        <f>INPUT!B13</f>
        <v>0</v>
      </c>
      <c r="C14" s="74"/>
      <c r="D14" s="16"/>
      <c r="E14" s="16"/>
      <c r="F14" s="16"/>
      <c r="G14" s="16"/>
      <c r="H14" s="16"/>
      <c r="I14" s="16"/>
      <c r="J14" s="16"/>
      <c r="K14" s="16"/>
      <c r="L14" s="16"/>
      <c r="M14" s="17" t="str">
        <f t="shared" si="0"/>
        <v/>
      </c>
      <c r="N14" s="17" t="str">
        <f t="shared" si="1"/>
        <v/>
      </c>
      <c r="O14" s="84" t="str">
        <f t="shared" si="2"/>
        <v/>
      </c>
      <c r="P14" s="93"/>
      <c r="Q14" s="16"/>
      <c r="R14" s="16"/>
      <c r="S14" s="16"/>
      <c r="T14" s="16"/>
      <c r="U14" s="17" t="str">
        <f t="shared" si="3"/>
        <v/>
      </c>
      <c r="V14" s="17" t="str">
        <f t="shared" si="4"/>
        <v/>
      </c>
      <c r="W14" s="94" t="str">
        <f t="shared" si="5"/>
        <v/>
      </c>
      <c r="X14" s="93"/>
      <c r="Y14" s="16"/>
      <c r="Z14" s="16"/>
      <c r="AA14" s="17" t="str">
        <f t="shared" si="6"/>
        <v/>
      </c>
      <c r="AB14" s="17" t="str">
        <f t="shared" si="7"/>
        <v/>
      </c>
      <c r="AC14" s="94" t="str">
        <f t="shared" si="8"/>
        <v/>
      </c>
      <c r="AD14" s="99" t="str">
        <f t="shared" si="9"/>
        <v/>
      </c>
      <c r="AE14" s="17" t="str">
        <f>IF(AD14="","",LOOKUP(AD14,SETTINGS!$F$16:$F$56,SETTINGS!$H$16:$H$56))</f>
        <v/>
      </c>
      <c r="AF14" s="14" t="str">
        <f>IF(AE14="","",LOOKUP(AE14,SETTINGS!$G$4:$G$8,SETTINGS!$F$4:$F$8))</f>
        <v/>
      </c>
      <c r="AG14" s="29" t="str">
        <f t="shared" si="10"/>
        <v/>
      </c>
    </row>
    <row r="15" spans="1:36" x14ac:dyDescent="0.25">
      <c r="A15" s="28">
        <v>6</v>
      </c>
      <c r="B15" s="77">
        <f>INPUT!B14</f>
        <v>0</v>
      </c>
      <c r="C15" s="74"/>
      <c r="D15" s="16"/>
      <c r="E15" s="16"/>
      <c r="F15" s="16"/>
      <c r="G15" s="16"/>
      <c r="H15" s="16"/>
      <c r="I15" s="16"/>
      <c r="J15" s="16"/>
      <c r="K15" s="16"/>
      <c r="L15" s="16"/>
      <c r="M15" s="17" t="str">
        <f t="shared" si="0"/>
        <v/>
      </c>
      <c r="N15" s="17" t="str">
        <f t="shared" si="1"/>
        <v/>
      </c>
      <c r="O15" s="84" t="str">
        <f t="shared" si="2"/>
        <v/>
      </c>
      <c r="P15" s="93"/>
      <c r="Q15" s="16"/>
      <c r="R15" s="16"/>
      <c r="S15" s="16"/>
      <c r="T15" s="16"/>
      <c r="U15" s="17" t="str">
        <f t="shared" si="3"/>
        <v/>
      </c>
      <c r="V15" s="17" t="str">
        <f t="shared" si="4"/>
        <v/>
      </c>
      <c r="W15" s="94" t="str">
        <f t="shared" si="5"/>
        <v/>
      </c>
      <c r="X15" s="93"/>
      <c r="Y15" s="16"/>
      <c r="Z15" s="16"/>
      <c r="AA15" s="17" t="str">
        <f t="shared" si="6"/>
        <v/>
      </c>
      <c r="AB15" s="17" t="str">
        <f t="shared" si="7"/>
        <v/>
      </c>
      <c r="AC15" s="94" t="str">
        <f t="shared" si="8"/>
        <v/>
      </c>
      <c r="AD15" s="99" t="str">
        <f t="shared" si="9"/>
        <v/>
      </c>
      <c r="AE15" s="17" t="str">
        <f>IF(AD15="","",LOOKUP(AD15,SETTINGS!$F$16:$F$56,SETTINGS!$H$16:$H$56))</f>
        <v/>
      </c>
      <c r="AF15" s="14" t="str">
        <f>IF(AE15="","",LOOKUP(AE15,SETTINGS!$G$4:$G$8,SETTINGS!$F$4:$F$8))</f>
        <v/>
      </c>
      <c r="AG15" s="29" t="str">
        <f t="shared" si="10"/>
        <v/>
      </c>
    </row>
    <row r="16" spans="1:36" x14ac:dyDescent="0.25">
      <c r="A16" s="28">
        <v>7</v>
      </c>
      <c r="B16" s="77">
        <f>INPUT!B15</f>
        <v>0</v>
      </c>
      <c r="C16" s="74"/>
      <c r="D16" s="16"/>
      <c r="E16" s="16"/>
      <c r="F16" s="16"/>
      <c r="G16" s="16"/>
      <c r="H16" s="16"/>
      <c r="I16" s="16"/>
      <c r="J16" s="16"/>
      <c r="K16" s="16"/>
      <c r="L16" s="16"/>
      <c r="M16" s="17" t="str">
        <f t="shared" si="0"/>
        <v/>
      </c>
      <c r="N16" s="17" t="str">
        <f t="shared" si="1"/>
        <v/>
      </c>
      <c r="O16" s="84" t="str">
        <f t="shared" si="2"/>
        <v/>
      </c>
      <c r="P16" s="93"/>
      <c r="Q16" s="16"/>
      <c r="R16" s="16"/>
      <c r="S16" s="16"/>
      <c r="T16" s="16"/>
      <c r="U16" s="17" t="str">
        <f t="shared" si="3"/>
        <v/>
      </c>
      <c r="V16" s="17" t="str">
        <f t="shared" si="4"/>
        <v/>
      </c>
      <c r="W16" s="94" t="str">
        <f t="shared" si="5"/>
        <v/>
      </c>
      <c r="X16" s="93"/>
      <c r="Y16" s="16"/>
      <c r="Z16" s="16"/>
      <c r="AA16" s="17" t="str">
        <f t="shared" si="6"/>
        <v/>
      </c>
      <c r="AB16" s="17" t="str">
        <f t="shared" si="7"/>
        <v/>
      </c>
      <c r="AC16" s="94" t="str">
        <f t="shared" si="8"/>
        <v/>
      </c>
      <c r="AD16" s="99" t="str">
        <f t="shared" si="9"/>
        <v/>
      </c>
      <c r="AE16" s="17" t="str">
        <f>IF(AD16="","",LOOKUP(AD16,SETTINGS!$F$16:$F$56,SETTINGS!$H$16:$H$56))</f>
        <v/>
      </c>
      <c r="AF16" s="14" t="str">
        <f>IF(AE16="","",LOOKUP(AE16,SETTINGS!$G$4:$G$8,SETTINGS!$F$4:$F$8))</f>
        <v/>
      </c>
      <c r="AG16" s="29" t="str">
        <f t="shared" si="10"/>
        <v/>
      </c>
    </row>
    <row r="17" spans="1:33" x14ac:dyDescent="0.25">
      <c r="A17" s="28">
        <v>8</v>
      </c>
      <c r="B17" s="77">
        <f>INPUT!B16</f>
        <v>0</v>
      </c>
      <c r="C17" s="74"/>
      <c r="D17" s="16"/>
      <c r="E17" s="16"/>
      <c r="F17" s="16"/>
      <c r="G17" s="16"/>
      <c r="H17" s="16"/>
      <c r="I17" s="16"/>
      <c r="J17" s="16"/>
      <c r="K17" s="16"/>
      <c r="L17" s="16"/>
      <c r="M17" s="17" t="str">
        <f t="shared" si="0"/>
        <v/>
      </c>
      <c r="N17" s="17" t="str">
        <f t="shared" si="1"/>
        <v/>
      </c>
      <c r="O17" s="84" t="str">
        <f t="shared" si="2"/>
        <v/>
      </c>
      <c r="P17" s="93"/>
      <c r="Q17" s="16"/>
      <c r="R17" s="16"/>
      <c r="S17" s="16"/>
      <c r="T17" s="16"/>
      <c r="U17" s="17" t="str">
        <f t="shared" si="3"/>
        <v/>
      </c>
      <c r="V17" s="17" t="str">
        <f t="shared" si="4"/>
        <v/>
      </c>
      <c r="W17" s="94" t="str">
        <f t="shared" si="5"/>
        <v/>
      </c>
      <c r="X17" s="93"/>
      <c r="Y17" s="16"/>
      <c r="Z17" s="16"/>
      <c r="AA17" s="17" t="str">
        <f t="shared" si="6"/>
        <v/>
      </c>
      <c r="AB17" s="17" t="str">
        <f t="shared" si="7"/>
        <v/>
      </c>
      <c r="AC17" s="94" t="str">
        <f t="shared" si="8"/>
        <v/>
      </c>
      <c r="AD17" s="99" t="str">
        <f t="shared" si="9"/>
        <v/>
      </c>
      <c r="AE17" s="17" t="str">
        <f>IF(AD17="","",LOOKUP(AD17,SETTINGS!$F$16:$F$56,SETTINGS!$H$16:$H$56))</f>
        <v/>
      </c>
      <c r="AF17" s="14" t="str">
        <f>IF(AE17="","",LOOKUP(AE17,SETTINGS!$G$4:$G$8,SETTINGS!$F$4:$F$8))</f>
        <v/>
      </c>
      <c r="AG17" s="29" t="str">
        <f t="shared" si="10"/>
        <v/>
      </c>
    </row>
    <row r="18" spans="1:33" x14ac:dyDescent="0.25">
      <c r="A18" s="28">
        <v>9</v>
      </c>
      <c r="B18" s="77">
        <f>INPUT!B17</f>
        <v>0</v>
      </c>
      <c r="C18" s="74"/>
      <c r="D18" s="16"/>
      <c r="E18" s="16"/>
      <c r="F18" s="16"/>
      <c r="G18" s="16"/>
      <c r="H18" s="16"/>
      <c r="I18" s="16"/>
      <c r="J18" s="16"/>
      <c r="K18" s="16"/>
      <c r="L18" s="16"/>
      <c r="M18" s="17" t="str">
        <f t="shared" si="0"/>
        <v/>
      </c>
      <c r="N18" s="17" t="str">
        <f t="shared" si="1"/>
        <v/>
      </c>
      <c r="O18" s="84" t="str">
        <f t="shared" si="2"/>
        <v/>
      </c>
      <c r="P18" s="93"/>
      <c r="Q18" s="16"/>
      <c r="R18" s="16"/>
      <c r="S18" s="16"/>
      <c r="T18" s="16"/>
      <c r="U18" s="17" t="str">
        <f t="shared" si="3"/>
        <v/>
      </c>
      <c r="V18" s="17" t="str">
        <f t="shared" si="4"/>
        <v/>
      </c>
      <c r="W18" s="94" t="str">
        <f t="shared" si="5"/>
        <v/>
      </c>
      <c r="X18" s="93"/>
      <c r="Y18" s="16"/>
      <c r="Z18" s="16"/>
      <c r="AA18" s="17" t="str">
        <f t="shared" si="6"/>
        <v/>
      </c>
      <c r="AB18" s="17" t="str">
        <f t="shared" si="7"/>
        <v/>
      </c>
      <c r="AC18" s="94" t="str">
        <f t="shared" si="8"/>
        <v/>
      </c>
      <c r="AD18" s="99" t="str">
        <f t="shared" si="9"/>
        <v/>
      </c>
      <c r="AE18" s="17" t="str">
        <f>IF(AD18="","",LOOKUP(AD18,SETTINGS!$F$16:$F$56,SETTINGS!$H$16:$H$56))</f>
        <v/>
      </c>
      <c r="AF18" s="14" t="str">
        <f>IF(AE18="","",LOOKUP(AE18,SETTINGS!$G$4:$G$8,SETTINGS!$F$4:$F$8))</f>
        <v/>
      </c>
      <c r="AG18" s="29" t="str">
        <f t="shared" si="10"/>
        <v/>
      </c>
    </row>
    <row r="19" spans="1:33" x14ac:dyDescent="0.25">
      <c r="A19" s="28">
        <v>10</v>
      </c>
      <c r="B19" s="77">
        <f>INPUT!B18</f>
        <v>0</v>
      </c>
      <c r="C19" s="74"/>
      <c r="D19" s="16"/>
      <c r="E19" s="16"/>
      <c r="F19" s="16"/>
      <c r="G19" s="16"/>
      <c r="H19" s="16"/>
      <c r="I19" s="16"/>
      <c r="J19" s="16"/>
      <c r="K19" s="16"/>
      <c r="L19" s="16"/>
      <c r="M19" s="17" t="str">
        <f t="shared" si="0"/>
        <v/>
      </c>
      <c r="N19" s="17" t="str">
        <f t="shared" si="1"/>
        <v/>
      </c>
      <c r="O19" s="84" t="str">
        <f t="shared" si="2"/>
        <v/>
      </c>
      <c r="P19" s="93"/>
      <c r="Q19" s="16"/>
      <c r="R19" s="16"/>
      <c r="S19" s="16"/>
      <c r="T19" s="16"/>
      <c r="U19" s="17" t="str">
        <f t="shared" si="3"/>
        <v/>
      </c>
      <c r="V19" s="17" t="str">
        <f t="shared" si="4"/>
        <v/>
      </c>
      <c r="W19" s="94" t="str">
        <f t="shared" si="5"/>
        <v/>
      </c>
      <c r="X19" s="93"/>
      <c r="Y19" s="16"/>
      <c r="Z19" s="16"/>
      <c r="AA19" s="17" t="str">
        <f t="shared" si="6"/>
        <v/>
      </c>
      <c r="AB19" s="17" t="str">
        <f t="shared" si="7"/>
        <v/>
      </c>
      <c r="AC19" s="94" t="str">
        <f t="shared" si="8"/>
        <v/>
      </c>
      <c r="AD19" s="99" t="str">
        <f t="shared" si="9"/>
        <v/>
      </c>
      <c r="AE19" s="17" t="str">
        <f>IF(AD19="","",LOOKUP(AD19,SETTINGS!$F$16:$F$56,SETTINGS!$H$16:$H$56))</f>
        <v/>
      </c>
      <c r="AF19" s="14" t="str">
        <f>IF(AE19="","",LOOKUP(AE19,SETTINGS!$G$4:$G$8,SETTINGS!$F$4:$F$8))</f>
        <v/>
      </c>
      <c r="AG19" s="29" t="str">
        <f t="shared" si="10"/>
        <v/>
      </c>
    </row>
    <row r="20" spans="1:33" x14ac:dyDescent="0.25">
      <c r="A20" s="28">
        <v>11</v>
      </c>
      <c r="B20" s="77">
        <f>INPUT!B19</f>
        <v>0</v>
      </c>
      <c r="C20" s="74"/>
      <c r="D20" s="16"/>
      <c r="E20" s="16"/>
      <c r="F20" s="16"/>
      <c r="G20" s="16"/>
      <c r="H20" s="16"/>
      <c r="I20" s="16"/>
      <c r="J20" s="16"/>
      <c r="K20" s="16"/>
      <c r="L20" s="16"/>
      <c r="M20" s="17" t="str">
        <f t="shared" si="0"/>
        <v/>
      </c>
      <c r="N20" s="17" t="str">
        <f t="shared" si="1"/>
        <v/>
      </c>
      <c r="O20" s="84" t="str">
        <f t="shared" si="2"/>
        <v/>
      </c>
      <c r="P20" s="93"/>
      <c r="Q20" s="16"/>
      <c r="R20" s="16"/>
      <c r="S20" s="16"/>
      <c r="T20" s="16"/>
      <c r="U20" s="17" t="str">
        <f t="shared" si="3"/>
        <v/>
      </c>
      <c r="V20" s="17" t="str">
        <f t="shared" si="4"/>
        <v/>
      </c>
      <c r="W20" s="94" t="str">
        <f t="shared" si="5"/>
        <v/>
      </c>
      <c r="X20" s="93"/>
      <c r="Y20" s="16"/>
      <c r="Z20" s="16"/>
      <c r="AA20" s="17" t="str">
        <f t="shared" si="6"/>
        <v/>
      </c>
      <c r="AB20" s="17" t="str">
        <f t="shared" si="7"/>
        <v/>
      </c>
      <c r="AC20" s="94" t="str">
        <f t="shared" si="8"/>
        <v/>
      </c>
      <c r="AD20" s="99" t="str">
        <f t="shared" si="9"/>
        <v/>
      </c>
      <c r="AE20" s="17" t="str">
        <f>IF(AD20="","",LOOKUP(AD20,SETTINGS!$F$16:$F$56,SETTINGS!$H$16:$H$56))</f>
        <v/>
      </c>
      <c r="AF20" s="14" t="str">
        <f>IF(AE20="","",LOOKUP(AE20,SETTINGS!$G$4:$G$8,SETTINGS!$F$4:$F$8))</f>
        <v/>
      </c>
      <c r="AG20" s="29" t="str">
        <f t="shared" si="10"/>
        <v/>
      </c>
    </row>
    <row r="21" spans="1:33" x14ac:dyDescent="0.25">
      <c r="A21" s="28">
        <v>12</v>
      </c>
      <c r="B21" s="77">
        <f>INPUT!B20</f>
        <v>0</v>
      </c>
      <c r="C21" s="74"/>
      <c r="D21" s="16"/>
      <c r="E21" s="16"/>
      <c r="F21" s="16"/>
      <c r="G21" s="16"/>
      <c r="H21" s="16"/>
      <c r="I21" s="16"/>
      <c r="J21" s="16"/>
      <c r="K21" s="16"/>
      <c r="L21" s="16"/>
      <c r="M21" s="17" t="str">
        <f t="shared" si="0"/>
        <v/>
      </c>
      <c r="N21" s="17" t="str">
        <f t="shared" si="1"/>
        <v/>
      </c>
      <c r="O21" s="84" t="str">
        <f t="shared" si="2"/>
        <v/>
      </c>
      <c r="P21" s="93"/>
      <c r="Q21" s="16"/>
      <c r="R21" s="16"/>
      <c r="S21" s="16"/>
      <c r="T21" s="16"/>
      <c r="U21" s="17" t="str">
        <f t="shared" si="3"/>
        <v/>
      </c>
      <c r="V21" s="17" t="str">
        <f t="shared" si="4"/>
        <v/>
      </c>
      <c r="W21" s="94" t="str">
        <f t="shared" si="5"/>
        <v/>
      </c>
      <c r="X21" s="93"/>
      <c r="Y21" s="16"/>
      <c r="Z21" s="16"/>
      <c r="AA21" s="17" t="str">
        <f t="shared" si="6"/>
        <v/>
      </c>
      <c r="AB21" s="17" t="str">
        <f t="shared" si="7"/>
        <v/>
      </c>
      <c r="AC21" s="94" t="str">
        <f t="shared" si="8"/>
        <v/>
      </c>
      <c r="AD21" s="99" t="str">
        <f t="shared" si="9"/>
        <v/>
      </c>
      <c r="AE21" s="17" t="str">
        <f>IF(AD21="","",LOOKUP(AD21,SETTINGS!$F$16:$F$56,SETTINGS!$H$16:$H$56))</f>
        <v/>
      </c>
      <c r="AF21" s="14" t="str">
        <f>IF(AE21="","",LOOKUP(AE21,SETTINGS!$G$4:$G$8,SETTINGS!$F$4:$F$8))</f>
        <v/>
      </c>
      <c r="AG21" s="29" t="str">
        <f t="shared" si="10"/>
        <v/>
      </c>
    </row>
    <row r="22" spans="1:33" x14ac:dyDescent="0.25">
      <c r="A22" s="28">
        <v>13</v>
      </c>
      <c r="B22" s="77">
        <f>INPUT!B21</f>
        <v>0</v>
      </c>
      <c r="C22" s="74"/>
      <c r="D22" s="16"/>
      <c r="E22" s="16"/>
      <c r="F22" s="16"/>
      <c r="G22" s="16"/>
      <c r="H22" s="16"/>
      <c r="I22" s="16"/>
      <c r="J22" s="16"/>
      <c r="K22" s="16"/>
      <c r="L22" s="16"/>
      <c r="M22" s="17" t="str">
        <f t="shared" si="0"/>
        <v/>
      </c>
      <c r="N22" s="17" t="str">
        <f t="shared" si="1"/>
        <v/>
      </c>
      <c r="O22" s="84" t="str">
        <f t="shared" si="2"/>
        <v/>
      </c>
      <c r="P22" s="93"/>
      <c r="Q22" s="16"/>
      <c r="R22" s="16"/>
      <c r="S22" s="16"/>
      <c r="T22" s="16"/>
      <c r="U22" s="17" t="str">
        <f t="shared" si="3"/>
        <v/>
      </c>
      <c r="V22" s="17" t="str">
        <f t="shared" si="4"/>
        <v/>
      </c>
      <c r="W22" s="94" t="str">
        <f t="shared" si="5"/>
        <v/>
      </c>
      <c r="X22" s="93"/>
      <c r="Y22" s="16"/>
      <c r="Z22" s="16"/>
      <c r="AA22" s="17" t="str">
        <f t="shared" si="6"/>
        <v/>
      </c>
      <c r="AB22" s="17" t="str">
        <f t="shared" si="7"/>
        <v/>
      </c>
      <c r="AC22" s="94" t="str">
        <f t="shared" si="8"/>
        <v/>
      </c>
      <c r="AD22" s="99" t="str">
        <f t="shared" si="9"/>
        <v/>
      </c>
      <c r="AE22" s="17" t="str">
        <f>IF(AD22="","",LOOKUP(AD22,SETTINGS!$F$16:$F$56,SETTINGS!$H$16:$H$56))</f>
        <v/>
      </c>
      <c r="AF22" s="14" t="str">
        <f>IF(AE22="","",LOOKUP(AE22,SETTINGS!$G$4:$G$8,SETTINGS!$F$4:$F$8))</f>
        <v/>
      </c>
      <c r="AG22" s="29" t="str">
        <f t="shared" si="10"/>
        <v/>
      </c>
    </row>
    <row r="23" spans="1:33" x14ac:dyDescent="0.25">
      <c r="A23" s="28">
        <v>14</v>
      </c>
      <c r="B23" s="77">
        <f>INPUT!B22</f>
        <v>0</v>
      </c>
      <c r="C23" s="74"/>
      <c r="D23" s="16"/>
      <c r="E23" s="16"/>
      <c r="F23" s="16"/>
      <c r="G23" s="16"/>
      <c r="H23" s="16"/>
      <c r="I23" s="16"/>
      <c r="J23" s="16"/>
      <c r="K23" s="16"/>
      <c r="L23" s="16"/>
      <c r="M23" s="17" t="str">
        <f t="shared" si="0"/>
        <v/>
      </c>
      <c r="N23" s="17" t="str">
        <f t="shared" si="1"/>
        <v/>
      </c>
      <c r="O23" s="84" t="str">
        <f t="shared" si="2"/>
        <v/>
      </c>
      <c r="P23" s="93"/>
      <c r="Q23" s="16"/>
      <c r="R23" s="16"/>
      <c r="S23" s="16"/>
      <c r="T23" s="16"/>
      <c r="U23" s="17" t="str">
        <f t="shared" si="3"/>
        <v/>
      </c>
      <c r="V23" s="17" t="str">
        <f t="shared" si="4"/>
        <v/>
      </c>
      <c r="W23" s="94" t="str">
        <f t="shared" si="5"/>
        <v/>
      </c>
      <c r="X23" s="93"/>
      <c r="Y23" s="16"/>
      <c r="Z23" s="16"/>
      <c r="AA23" s="17" t="str">
        <f t="shared" si="6"/>
        <v/>
      </c>
      <c r="AB23" s="17" t="str">
        <f t="shared" si="7"/>
        <v/>
      </c>
      <c r="AC23" s="94" t="str">
        <f t="shared" si="8"/>
        <v/>
      </c>
      <c r="AD23" s="99" t="str">
        <f t="shared" si="9"/>
        <v/>
      </c>
      <c r="AE23" s="17" t="str">
        <f>IF(AD23="","",LOOKUP(AD23,SETTINGS!$F$16:$F$56,SETTINGS!$H$16:$H$56))</f>
        <v/>
      </c>
      <c r="AF23" s="14" t="str">
        <f>IF(AE23="","",LOOKUP(AE23,SETTINGS!$G$4:$G$8,SETTINGS!$F$4:$F$8))</f>
        <v/>
      </c>
      <c r="AG23" s="29" t="str">
        <f t="shared" si="10"/>
        <v/>
      </c>
    </row>
    <row r="24" spans="1:33" x14ac:dyDescent="0.25">
      <c r="A24" s="28">
        <v>15</v>
      </c>
      <c r="B24" s="77">
        <f>INPUT!B23</f>
        <v>0</v>
      </c>
      <c r="C24" s="74"/>
      <c r="D24" s="16"/>
      <c r="E24" s="16"/>
      <c r="F24" s="16"/>
      <c r="G24" s="16"/>
      <c r="H24" s="16"/>
      <c r="I24" s="16"/>
      <c r="J24" s="16"/>
      <c r="K24" s="16"/>
      <c r="L24" s="16"/>
      <c r="M24" s="17" t="str">
        <f t="shared" si="0"/>
        <v/>
      </c>
      <c r="N24" s="17" t="str">
        <f t="shared" si="1"/>
        <v/>
      </c>
      <c r="O24" s="84" t="str">
        <f t="shared" si="2"/>
        <v/>
      </c>
      <c r="P24" s="93"/>
      <c r="Q24" s="16"/>
      <c r="R24" s="16"/>
      <c r="S24" s="16"/>
      <c r="T24" s="16"/>
      <c r="U24" s="17" t="str">
        <f t="shared" si="3"/>
        <v/>
      </c>
      <c r="V24" s="17" t="str">
        <f t="shared" si="4"/>
        <v/>
      </c>
      <c r="W24" s="94" t="str">
        <f t="shared" si="5"/>
        <v/>
      </c>
      <c r="X24" s="93"/>
      <c r="Y24" s="16"/>
      <c r="Z24" s="16"/>
      <c r="AA24" s="17" t="str">
        <f t="shared" si="6"/>
        <v/>
      </c>
      <c r="AB24" s="17" t="str">
        <f t="shared" si="7"/>
        <v/>
      </c>
      <c r="AC24" s="94" t="str">
        <f t="shared" si="8"/>
        <v/>
      </c>
      <c r="AD24" s="99" t="str">
        <f t="shared" si="9"/>
        <v/>
      </c>
      <c r="AE24" s="17" t="str">
        <f>IF(AD24="","",LOOKUP(AD24,SETTINGS!$F$16:$F$56,SETTINGS!$H$16:$H$56))</f>
        <v/>
      </c>
      <c r="AF24" s="14" t="str">
        <f>IF(AE24="","",LOOKUP(AE24,SETTINGS!$G$4:$G$8,SETTINGS!$F$4:$F$8))</f>
        <v/>
      </c>
      <c r="AG24" s="29" t="str">
        <f t="shared" si="10"/>
        <v/>
      </c>
    </row>
    <row r="25" spans="1:33" x14ac:dyDescent="0.25">
      <c r="A25" s="28">
        <v>16</v>
      </c>
      <c r="B25" s="77">
        <f>INPUT!B24</f>
        <v>0</v>
      </c>
      <c r="C25" s="74"/>
      <c r="D25" s="16"/>
      <c r="E25" s="16"/>
      <c r="F25" s="16"/>
      <c r="G25" s="16"/>
      <c r="H25" s="16"/>
      <c r="I25" s="16"/>
      <c r="J25" s="16"/>
      <c r="K25" s="16"/>
      <c r="L25" s="16"/>
      <c r="M25" s="17" t="str">
        <f t="shared" si="0"/>
        <v/>
      </c>
      <c r="N25" s="17" t="str">
        <f t="shared" si="1"/>
        <v/>
      </c>
      <c r="O25" s="84" t="str">
        <f t="shared" si="2"/>
        <v/>
      </c>
      <c r="P25" s="93"/>
      <c r="Q25" s="16"/>
      <c r="R25" s="16"/>
      <c r="S25" s="16"/>
      <c r="T25" s="16"/>
      <c r="U25" s="17" t="str">
        <f t="shared" si="3"/>
        <v/>
      </c>
      <c r="V25" s="17" t="str">
        <f t="shared" si="4"/>
        <v/>
      </c>
      <c r="W25" s="94" t="str">
        <f t="shared" si="5"/>
        <v/>
      </c>
      <c r="X25" s="93"/>
      <c r="Y25" s="16"/>
      <c r="Z25" s="16"/>
      <c r="AA25" s="17" t="str">
        <f t="shared" si="6"/>
        <v/>
      </c>
      <c r="AB25" s="17" t="str">
        <f t="shared" si="7"/>
        <v/>
      </c>
      <c r="AC25" s="94" t="str">
        <f t="shared" si="8"/>
        <v/>
      </c>
      <c r="AD25" s="99" t="str">
        <f t="shared" si="9"/>
        <v/>
      </c>
      <c r="AE25" s="17" t="str">
        <f>IF(AD25="","",LOOKUP(AD25,SETTINGS!$F$16:$F$56,SETTINGS!$H$16:$H$56))</f>
        <v/>
      </c>
      <c r="AF25" s="14" t="str">
        <f>IF(AE25="","",LOOKUP(AE25,SETTINGS!$G$4:$G$8,SETTINGS!$F$4:$F$8))</f>
        <v/>
      </c>
      <c r="AG25" s="29" t="str">
        <f t="shared" si="10"/>
        <v/>
      </c>
    </row>
    <row r="26" spans="1:33" x14ac:dyDescent="0.25">
      <c r="A26" s="28">
        <v>17</v>
      </c>
      <c r="B26" s="77">
        <f>INPUT!B25</f>
        <v>0</v>
      </c>
      <c r="C26" s="74"/>
      <c r="D26" s="16"/>
      <c r="E26" s="16"/>
      <c r="F26" s="16"/>
      <c r="G26" s="16"/>
      <c r="H26" s="16"/>
      <c r="I26" s="16"/>
      <c r="J26" s="16"/>
      <c r="K26" s="16"/>
      <c r="L26" s="16"/>
      <c r="M26" s="17" t="str">
        <f t="shared" si="0"/>
        <v/>
      </c>
      <c r="N26" s="17" t="str">
        <f t="shared" si="1"/>
        <v/>
      </c>
      <c r="O26" s="84" t="str">
        <f t="shared" si="2"/>
        <v/>
      </c>
      <c r="P26" s="93"/>
      <c r="Q26" s="16"/>
      <c r="R26" s="16"/>
      <c r="S26" s="16"/>
      <c r="T26" s="16"/>
      <c r="U26" s="17" t="str">
        <f t="shared" si="3"/>
        <v/>
      </c>
      <c r="V26" s="17" t="str">
        <f t="shared" si="4"/>
        <v/>
      </c>
      <c r="W26" s="94" t="str">
        <f t="shared" si="5"/>
        <v/>
      </c>
      <c r="X26" s="93"/>
      <c r="Y26" s="16"/>
      <c r="Z26" s="16"/>
      <c r="AA26" s="17" t="str">
        <f t="shared" si="6"/>
        <v/>
      </c>
      <c r="AB26" s="17" t="str">
        <f t="shared" si="7"/>
        <v/>
      </c>
      <c r="AC26" s="94" t="str">
        <f t="shared" si="8"/>
        <v/>
      </c>
      <c r="AD26" s="99" t="str">
        <f t="shared" si="9"/>
        <v/>
      </c>
      <c r="AE26" s="17" t="str">
        <f>IF(AD26="","",LOOKUP(AD26,SETTINGS!$F$16:$F$56,SETTINGS!$H$16:$H$56))</f>
        <v/>
      </c>
      <c r="AF26" s="14" t="str">
        <f>IF(AE26="","",LOOKUP(AE26,SETTINGS!$G$4:$G$8,SETTINGS!$F$4:$F$8))</f>
        <v/>
      </c>
      <c r="AG26" s="29" t="str">
        <f t="shared" si="10"/>
        <v/>
      </c>
    </row>
    <row r="27" spans="1:33" x14ac:dyDescent="0.25">
      <c r="A27" s="28">
        <v>18</v>
      </c>
      <c r="B27" s="77">
        <f>INPUT!B26</f>
        <v>0</v>
      </c>
      <c r="C27" s="74"/>
      <c r="D27" s="16"/>
      <c r="E27" s="16"/>
      <c r="F27" s="16"/>
      <c r="G27" s="16"/>
      <c r="H27" s="16"/>
      <c r="I27" s="16"/>
      <c r="J27" s="16"/>
      <c r="K27" s="16"/>
      <c r="L27" s="16"/>
      <c r="M27" s="17" t="str">
        <f t="shared" si="0"/>
        <v/>
      </c>
      <c r="N27" s="17" t="str">
        <f t="shared" si="1"/>
        <v/>
      </c>
      <c r="O27" s="84" t="str">
        <f t="shared" si="2"/>
        <v/>
      </c>
      <c r="P27" s="93"/>
      <c r="Q27" s="16"/>
      <c r="R27" s="16"/>
      <c r="S27" s="16"/>
      <c r="T27" s="16"/>
      <c r="U27" s="17" t="str">
        <f t="shared" si="3"/>
        <v/>
      </c>
      <c r="V27" s="17" t="str">
        <f t="shared" si="4"/>
        <v/>
      </c>
      <c r="W27" s="94" t="str">
        <f t="shared" si="5"/>
        <v/>
      </c>
      <c r="X27" s="93"/>
      <c r="Y27" s="16"/>
      <c r="Z27" s="16"/>
      <c r="AA27" s="17" t="str">
        <f t="shared" si="6"/>
        <v/>
      </c>
      <c r="AB27" s="17" t="str">
        <f t="shared" si="7"/>
        <v/>
      </c>
      <c r="AC27" s="94" t="str">
        <f t="shared" si="8"/>
        <v/>
      </c>
      <c r="AD27" s="99" t="str">
        <f t="shared" si="9"/>
        <v/>
      </c>
      <c r="AE27" s="17" t="str">
        <f>IF(AD27="","",LOOKUP(AD27,SETTINGS!$F$16:$F$56,SETTINGS!$H$16:$H$56))</f>
        <v/>
      </c>
      <c r="AF27" s="14" t="str">
        <f>IF(AE27="","",LOOKUP(AE27,SETTINGS!$G$4:$G$8,SETTINGS!$F$4:$F$8))</f>
        <v/>
      </c>
      <c r="AG27" s="29" t="str">
        <f t="shared" si="10"/>
        <v/>
      </c>
    </row>
    <row r="28" spans="1:33" x14ac:dyDescent="0.25">
      <c r="A28" s="28">
        <v>19</v>
      </c>
      <c r="B28" s="77">
        <f>INPUT!B27</f>
        <v>0</v>
      </c>
      <c r="C28" s="74"/>
      <c r="D28" s="16"/>
      <c r="E28" s="16"/>
      <c r="F28" s="16"/>
      <c r="G28" s="16"/>
      <c r="H28" s="16"/>
      <c r="I28" s="16"/>
      <c r="J28" s="16"/>
      <c r="K28" s="16"/>
      <c r="L28" s="16"/>
      <c r="M28" s="17" t="str">
        <f t="shared" si="0"/>
        <v/>
      </c>
      <c r="N28" s="17" t="str">
        <f t="shared" si="1"/>
        <v/>
      </c>
      <c r="O28" s="84" t="str">
        <f t="shared" si="2"/>
        <v/>
      </c>
      <c r="P28" s="93"/>
      <c r="Q28" s="16"/>
      <c r="R28" s="16"/>
      <c r="S28" s="16"/>
      <c r="T28" s="16"/>
      <c r="U28" s="17" t="str">
        <f t="shared" si="3"/>
        <v/>
      </c>
      <c r="V28" s="17" t="str">
        <f t="shared" si="4"/>
        <v/>
      </c>
      <c r="W28" s="94" t="str">
        <f t="shared" si="5"/>
        <v/>
      </c>
      <c r="X28" s="93"/>
      <c r="Y28" s="16"/>
      <c r="Z28" s="16"/>
      <c r="AA28" s="17" t="str">
        <f t="shared" si="6"/>
        <v/>
      </c>
      <c r="AB28" s="17" t="str">
        <f t="shared" si="7"/>
        <v/>
      </c>
      <c r="AC28" s="94" t="str">
        <f t="shared" si="8"/>
        <v/>
      </c>
      <c r="AD28" s="99" t="str">
        <f t="shared" si="9"/>
        <v/>
      </c>
      <c r="AE28" s="17" t="str">
        <f>IF(AD28="","",LOOKUP(AD28,SETTINGS!$F$16:$F$56,SETTINGS!$H$16:$H$56))</f>
        <v/>
      </c>
      <c r="AF28" s="14" t="str">
        <f>IF(AE28="","",LOOKUP(AE28,SETTINGS!$G$4:$G$8,SETTINGS!$F$4:$F$8))</f>
        <v/>
      </c>
      <c r="AG28" s="29" t="str">
        <f t="shared" si="10"/>
        <v/>
      </c>
    </row>
    <row r="29" spans="1:33" x14ac:dyDescent="0.25">
      <c r="A29" s="28">
        <v>20</v>
      </c>
      <c r="B29" s="77">
        <f>INPUT!B28</f>
        <v>0</v>
      </c>
      <c r="C29" s="74"/>
      <c r="D29" s="16"/>
      <c r="E29" s="16"/>
      <c r="F29" s="16"/>
      <c r="G29" s="16"/>
      <c r="H29" s="16"/>
      <c r="I29" s="16"/>
      <c r="J29" s="16"/>
      <c r="K29" s="16"/>
      <c r="L29" s="16"/>
      <c r="M29" s="17" t="str">
        <f t="shared" si="0"/>
        <v/>
      </c>
      <c r="N29" s="17" t="str">
        <f t="shared" si="1"/>
        <v/>
      </c>
      <c r="O29" s="84" t="str">
        <f t="shared" si="2"/>
        <v/>
      </c>
      <c r="P29" s="93"/>
      <c r="Q29" s="16"/>
      <c r="R29" s="16"/>
      <c r="S29" s="16"/>
      <c r="T29" s="16"/>
      <c r="U29" s="17" t="str">
        <f t="shared" si="3"/>
        <v/>
      </c>
      <c r="V29" s="17" t="str">
        <f t="shared" si="4"/>
        <v/>
      </c>
      <c r="W29" s="94" t="str">
        <f t="shared" si="5"/>
        <v/>
      </c>
      <c r="X29" s="93"/>
      <c r="Y29" s="16"/>
      <c r="Z29" s="16"/>
      <c r="AA29" s="17" t="str">
        <f t="shared" si="6"/>
        <v/>
      </c>
      <c r="AB29" s="17" t="str">
        <f t="shared" si="7"/>
        <v/>
      </c>
      <c r="AC29" s="94" t="str">
        <f t="shared" si="8"/>
        <v/>
      </c>
      <c r="AD29" s="99" t="str">
        <f t="shared" si="9"/>
        <v/>
      </c>
      <c r="AE29" s="17" t="str">
        <f>IF(AD29="","",LOOKUP(AD29,SETTINGS!$F$16:$F$56,SETTINGS!$H$16:$H$56))</f>
        <v/>
      </c>
      <c r="AF29" s="14" t="str">
        <f>IF(AE29="","",LOOKUP(AE29,SETTINGS!$G$4:$G$8,SETTINGS!$F$4:$F$8))</f>
        <v/>
      </c>
      <c r="AG29" s="29" t="str">
        <f t="shared" si="10"/>
        <v/>
      </c>
    </row>
    <row r="30" spans="1:33" x14ac:dyDescent="0.25">
      <c r="A30" s="28">
        <v>21</v>
      </c>
      <c r="B30" s="77">
        <f>INPUT!B29</f>
        <v>0</v>
      </c>
      <c r="C30" s="74"/>
      <c r="D30" s="16"/>
      <c r="E30" s="16"/>
      <c r="F30" s="16"/>
      <c r="G30" s="16"/>
      <c r="H30" s="16"/>
      <c r="I30" s="16"/>
      <c r="J30" s="16"/>
      <c r="K30" s="16"/>
      <c r="L30" s="16"/>
      <c r="M30" s="17" t="str">
        <f t="shared" si="0"/>
        <v/>
      </c>
      <c r="N30" s="17" t="str">
        <f t="shared" si="1"/>
        <v/>
      </c>
      <c r="O30" s="84" t="str">
        <f t="shared" si="2"/>
        <v/>
      </c>
      <c r="P30" s="93"/>
      <c r="Q30" s="16"/>
      <c r="R30" s="16"/>
      <c r="S30" s="16"/>
      <c r="T30" s="16"/>
      <c r="U30" s="17" t="str">
        <f t="shared" si="3"/>
        <v/>
      </c>
      <c r="V30" s="17" t="str">
        <f t="shared" si="4"/>
        <v/>
      </c>
      <c r="W30" s="94" t="str">
        <f t="shared" si="5"/>
        <v/>
      </c>
      <c r="X30" s="93"/>
      <c r="Y30" s="16"/>
      <c r="Z30" s="16"/>
      <c r="AA30" s="17" t="str">
        <f t="shared" si="6"/>
        <v/>
      </c>
      <c r="AB30" s="17" t="str">
        <f t="shared" si="7"/>
        <v/>
      </c>
      <c r="AC30" s="94" t="str">
        <f t="shared" si="8"/>
        <v/>
      </c>
      <c r="AD30" s="99" t="str">
        <f t="shared" si="9"/>
        <v/>
      </c>
      <c r="AE30" s="17" t="str">
        <f>IF(AD30="","",LOOKUP(AD30,SETTINGS!$F$16:$F$56,SETTINGS!$H$16:$H$56))</f>
        <v/>
      </c>
      <c r="AF30" s="14" t="str">
        <f>IF(AE30="","",LOOKUP(AE30,SETTINGS!$G$4:$G$8,SETTINGS!$F$4:$F$8))</f>
        <v/>
      </c>
      <c r="AG30" s="29" t="str">
        <f t="shared" si="10"/>
        <v/>
      </c>
    </row>
    <row r="31" spans="1:33" x14ac:dyDescent="0.25">
      <c r="A31" s="28">
        <v>22</v>
      </c>
      <c r="B31" s="77">
        <f>INPUT!B30</f>
        <v>0</v>
      </c>
      <c r="C31" s="74"/>
      <c r="D31" s="16"/>
      <c r="E31" s="16"/>
      <c r="F31" s="16"/>
      <c r="G31" s="16"/>
      <c r="H31" s="16"/>
      <c r="I31" s="16"/>
      <c r="J31" s="16"/>
      <c r="K31" s="16"/>
      <c r="L31" s="16"/>
      <c r="M31" s="17" t="str">
        <f t="shared" si="0"/>
        <v/>
      </c>
      <c r="N31" s="17" t="str">
        <f t="shared" si="1"/>
        <v/>
      </c>
      <c r="O31" s="84" t="str">
        <f t="shared" si="2"/>
        <v/>
      </c>
      <c r="P31" s="93"/>
      <c r="Q31" s="16"/>
      <c r="R31" s="16"/>
      <c r="S31" s="16"/>
      <c r="T31" s="16"/>
      <c r="U31" s="17" t="str">
        <f t="shared" si="3"/>
        <v/>
      </c>
      <c r="V31" s="17" t="str">
        <f t="shared" si="4"/>
        <v/>
      </c>
      <c r="W31" s="94" t="str">
        <f t="shared" si="5"/>
        <v/>
      </c>
      <c r="X31" s="93"/>
      <c r="Y31" s="16"/>
      <c r="Z31" s="16"/>
      <c r="AA31" s="17" t="str">
        <f t="shared" si="6"/>
        <v/>
      </c>
      <c r="AB31" s="17" t="str">
        <f t="shared" si="7"/>
        <v/>
      </c>
      <c r="AC31" s="94" t="str">
        <f t="shared" si="8"/>
        <v/>
      </c>
      <c r="AD31" s="99" t="str">
        <f t="shared" si="9"/>
        <v/>
      </c>
      <c r="AE31" s="17" t="str">
        <f>IF(AD31="","",LOOKUP(AD31,SETTINGS!$F$16:$F$56,SETTINGS!$H$16:$H$56))</f>
        <v/>
      </c>
      <c r="AF31" s="14" t="str">
        <f>IF(AE31="","",LOOKUP(AE31,SETTINGS!$G$4:$G$8,SETTINGS!$F$4:$F$8))</f>
        <v/>
      </c>
      <c r="AG31" s="29" t="str">
        <f t="shared" si="10"/>
        <v/>
      </c>
    </row>
    <row r="32" spans="1:33" x14ac:dyDescent="0.25">
      <c r="A32" s="28">
        <v>23</v>
      </c>
      <c r="B32" s="77">
        <f>INPUT!B31</f>
        <v>0</v>
      </c>
      <c r="C32" s="74"/>
      <c r="D32" s="16"/>
      <c r="E32" s="16"/>
      <c r="F32" s="16"/>
      <c r="G32" s="16"/>
      <c r="H32" s="16"/>
      <c r="I32" s="16"/>
      <c r="J32" s="16"/>
      <c r="K32" s="16"/>
      <c r="L32" s="16"/>
      <c r="M32" s="17" t="str">
        <f t="shared" si="0"/>
        <v/>
      </c>
      <c r="N32" s="17" t="str">
        <f t="shared" si="1"/>
        <v/>
      </c>
      <c r="O32" s="84" t="str">
        <f t="shared" si="2"/>
        <v/>
      </c>
      <c r="P32" s="93"/>
      <c r="Q32" s="16"/>
      <c r="R32" s="16"/>
      <c r="S32" s="16"/>
      <c r="T32" s="16"/>
      <c r="U32" s="17" t="str">
        <f t="shared" si="3"/>
        <v/>
      </c>
      <c r="V32" s="17" t="str">
        <f t="shared" si="4"/>
        <v/>
      </c>
      <c r="W32" s="94" t="str">
        <f t="shared" si="5"/>
        <v/>
      </c>
      <c r="X32" s="93"/>
      <c r="Y32" s="16"/>
      <c r="Z32" s="16"/>
      <c r="AA32" s="17" t="str">
        <f t="shared" si="6"/>
        <v/>
      </c>
      <c r="AB32" s="17" t="str">
        <f t="shared" si="7"/>
        <v/>
      </c>
      <c r="AC32" s="94" t="str">
        <f t="shared" si="8"/>
        <v/>
      </c>
      <c r="AD32" s="99" t="str">
        <f t="shared" si="9"/>
        <v/>
      </c>
      <c r="AE32" s="17" t="str">
        <f>IF(AD32="","",LOOKUP(AD32,SETTINGS!$F$16:$F$56,SETTINGS!$H$16:$H$56))</f>
        <v/>
      </c>
      <c r="AF32" s="14" t="str">
        <f>IF(AE32="","",LOOKUP(AE32,SETTINGS!$G$4:$G$8,SETTINGS!$F$4:$F$8))</f>
        <v/>
      </c>
      <c r="AG32" s="29" t="str">
        <f t="shared" si="10"/>
        <v/>
      </c>
    </row>
    <row r="33" spans="1:33" x14ac:dyDescent="0.25">
      <c r="A33" s="28">
        <v>24</v>
      </c>
      <c r="B33" s="77">
        <f>INPUT!B32</f>
        <v>0</v>
      </c>
      <c r="C33" s="74"/>
      <c r="D33" s="16"/>
      <c r="E33" s="16"/>
      <c r="F33" s="16"/>
      <c r="G33" s="16"/>
      <c r="H33" s="16"/>
      <c r="I33" s="16"/>
      <c r="J33" s="16"/>
      <c r="K33" s="16"/>
      <c r="L33" s="16"/>
      <c r="M33" s="17" t="str">
        <f t="shared" si="0"/>
        <v/>
      </c>
      <c r="N33" s="17" t="str">
        <f t="shared" si="1"/>
        <v/>
      </c>
      <c r="O33" s="84" t="str">
        <f t="shared" si="2"/>
        <v/>
      </c>
      <c r="P33" s="93"/>
      <c r="Q33" s="16"/>
      <c r="R33" s="16"/>
      <c r="S33" s="16"/>
      <c r="T33" s="16"/>
      <c r="U33" s="17" t="str">
        <f t="shared" si="3"/>
        <v/>
      </c>
      <c r="V33" s="17" t="str">
        <f t="shared" si="4"/>
        <v/>
      </c>
      <c r="W33" s="94" t="str">
        <f t="shared" si="5"/>
        <v/>
      </c>
      <c r="X33" s="93"/>
      <c r="Y33" s="16"/>
      <c r="Z33" s="16"/>
      <c r="AA33" s="17" t="str">
        <f t="shared" si="6"/>
        <v/>
      </c>
      <c r="AB33" s="17" t="str">
        <f t="shared" si="7"/>
        <v/>
      </c>
      <c r="AC33" s="94" t="str">
        <f t="shared" si="8"/>
        <v/>
      </c>
      <c r="AD33" s="99" t="str">
        <f t="shared" si="9"/>
        <v/>
      </c>
      <c r="AE33" s="17" t="str">
        <f>IF(AD33="","",LOOKUP(AD33,SETTINGS!$F$16:$F$56,SETTINGS!$H$16:$H$56))</f>
        <v/>
      </c>
      <c r="AF33" s="14" t="str">
        <f>IF(AE33="","",LOOKUP(AE33,SETTINGS!$G$4:$G$8,SETTINGS!$F$4:$F$8))</f>
        <v/>
      </c>
      <c r="AG33" s="29" t="str">
        <f t="shared" si="10"/>
        <v/>
      </c>
    </row>
    <row r="34" spans="1:33" x14ac:dyDescent="0.25">
      <c r="A34" s="28">
        <v>25</v>
      </c>
      <c r="B34" s="77">
        <f>INPUT!B33</f>
        <v>0</v>
      </c>
      <c r="C34" s="74"/>
      <c r="D34" s="16"/>
      <c r="E34" s="16"/>
      <c r="F34" s="16"/>
      <c r="G34" s="16"/>
      <c r="H34" s="16"/>
      <c r="I34" s="16"/>
      <c r="J34" s="16"/>
      <c r="K34" s="16"/>
      <c r="L34" s="16"/>
      <c r="M34" s="17" t="str">
        <f t="shared" si="0"/>
        <v/>
      </c>
      <c r="N34" s="17" t="str">
        <f t="shared" si="1"/>
        <v/>
      </c>
      <c r="O34" s="84" t="str">
        <f t="shared" si="2"/>
        <v/>
      </c>
      <c r="P34" s="93"/>
      <c r="Q34" s="16"/>
      <c r="R34" s="16"/>
      <c r="S34" s="16"/>
      <c r="T34" s="16"/>
      <c r="U34" s="17" t="str">
        <f t="shared" si="3"/>
        <v/>
      </c>
      <c r="V34" s="17" t="str">
        <f t="shared" si="4"/>
        <v/>
      </c>
      <c r="W34" s="94" t="str">
        <f t="shared" si="5"/>
        <v/>
      </c>
      <c r="X34" s="93"/>
      <c r="Y34" s="16"/>
      <c r="Z34" s="16"/>
      <c r="AA34" s="17" t="str">
        <f t="shared" si="6"/>
        <v/>
      </c>
      <c r="AB34" s="17" t="str">
        <f t="shared" si="7"/>
        <v/>
      </c>
      <c r="AC34" s="94" t="str">
        <f t="shared" si="8"/>
        <v/>
      </c>
      <c r="AD34" s="99" t="str">
        <f t="shared" si="9"/>
        <v/>
      </c>
      <c r="AE34" s="17" t="str">
        <f>IF(AD34="","",LOOKUP(AD34,SETTINGS!$F$16:$F$56,SETTINGS!$H$16:$H$56))</f>
        <v/>
      </c>
      <c r="AF34" s="14" t="str">
        <f>IF(AE34="","",LOOKUP(AE34,SETTINGS!$G$4:$G$8,SETTINGS!$F$4:$F$8))</f>
        <v/>
      </c>
      <c r="AG34" s="29" t="str">
        <f t="shared" si="10"/>
        <v/>
      </c>
    </row>
    <row r="35" spans="1:33" x14ac:dyDescent="0.25">
      <c r="A35" s="28">
        <v>26</v>
      </c>
      <c r="B35" s="77">
        <f>INPUT!B34</f>
        <v>0</v>
      </c>
      <c r="C35" s="74"/>
      <c r="D35" s="16"/>
      <c r="E35" s="16"/>
      <c r="F35" s="16"/>
      <c r="G35" s="16"/>
      <c r="H35" s="16"/>
      <c r="I35" s="16"/>
      <c r="J35" s="16"/>
      <c r="K35" s="16"/>
      <c r="L35" s="16"/>
      <c r="M35" s="17" t="str">
        <f t="shared" si="0"/>
        <v/>
      </c>
      <c r="N35" s="17" t="str">
        <f t="shared" si="1"/>
        <v/>
      </c>
      <c r="O35" s="84" t="str">
        <f t="shared" si="2"/>
        <v/>
      </c>
      <c r="P35" s="93"/>
      <c r="Q35" s="16"/>
      <c r="R35" s="16"/>
      <c r="S35" s="16"/>
      <c r="T35" s="16"/>
      <c r="U35" s="17" t="str">
        <f t="shared" si="3"/>
        <v/>
      </c>
      <c r="V35" s="17" t="str">
        <f t="shared" si="4"/>
        <v/>
      </c>
      <c r="W35" s="94" t="str">
        <f t="shared" si="5"/>
        <v/>
      </c>
      <c r="X35" s="93"/>
      <c r="Y35" s="16"/>
      <c r="Z35" s="16"/>
      <c r="AA35" s="17" t="str">
        <f t="shared" si="6"/>
        <v/>
      </c>
      <c r="AB35" s="17" t="str">
        <f t="shared" si="7"/>
        <v/>
      </c>
      <c r="AC35" s="94" t="str">
        <f t="shared" si="8"/>
        <v/>
      </c>
      <c r="AD35" s="99" t="str">
        <f t="shared" si="9"/>
        <v/>
      </c>
      <c r="AE35" s="17" t="str">
        <f>IF(AD35="","",LOOKUP(AD35,SETTINGS!$F$16:$F$56,SETTINGS!$H$16:$H$56))</f>
        <v/>
      </c>
      <c r="AF35" s="14" t="str">
        <f>IF(AE35="","",LOOKUP(AE35,SETTINGS!$G$4:$G$8,SETTINGS!$F$4:$F$8))</f>
        <v/>
      </c>
      <c r="AG35" s="29" t="str">
        <f t="shared" si="10"/>
        <v/>
      </c>
    </row>
    <row r="36" spans="1:33" x14ac:dyDescent="0.25">
      <c r="A36" s="28">
        <v>27</v>
      </c>
      <c r="B36" s="77">
        <f>INPUT!B35</f>
        <v>0</v>
      </c>
      <c r="C36" s="74"/>
      <c r="D36" s="16"/>
      <c r="E36" s="16"/>
      <c r="F36" s="16"/>
      <c r="G36" s="16"/>
      <c r="H36" s="16"/>
      <c r="I36" s="16"/>
      <c r="J36" s="16"/>
      <c r="K36" s="16"/>
      <c r="L36" s="16"/>
      <c r="M36" s="17" t="str">
        <f t="shared" si="0"/>
        <v/>
      </c>
      <c r="N36" s="17" t="str">
        <f t="shared" si="1"/>
        <v/>
      </c>
      <c r="O36" s="84" t="str">
        <f t="shared" si="2"/>
        <v/>
      </c>
      <c r="P36" s="93"/>
      <c r="Q36" s="16"/>
      <c r="R36" s="16"/>
      <c r="S36" s="16"/>
      <c r="T36" s="16"/>
      <c r="U36" s="17" t="str">
        <f t="shared" si="3"/>
        <v/>
      </c>
      <c r="V36" s="17" t="str">
        <f t="shared" si="4"/>
        <v/>
      </c>
      <c r="W36" s="94" t="str">
        <f t="shared" si="5"/>
        <v/>
      </c>
      <c r="X36" s="93"/>
      <c r="Y36" s="16"/>
      <c r="Z36" s="16"/>
      <c r="AA36" s="17" t="str">
        <f t="shared" si="6"/>
        <v/>
      </c>
      <c r="AB36" s="17" t="str">
        <f t="shared" si="7"/>
        <v/>
      </c>
      <c r="AC36" s="94" t="str">
        <f t="shared" si="8"/>
        <v/>
      </c>
      <c r="AD36" s="99" t="str">
        <f t="shared" si="9"/>
        <v/>
      </c>
      <c r="AE36" s="17" t="str">
        <f>IF(AD36="","",LOOKUP(AD36,SETTINGS!$F$16:$F$56,SETTINGS!$H$16:$H$56))</f>
        <v/>
      </c>
      <c r="AF36" s="14" t="str">
        <f>IF(AE36="","",LOOKUP(AE36,SETTINGS!$G$4:$G$8,SETTINGS!$F$4:$F$8))</f>
        <v/>
      </c>
      <c r="AG36" s="29" t="str">
        <f t="shared" si="10"/>
        <v/>
      </c>
    </row>
    <row r="37" spans="1:33" x14ac:dyDescent="0.25">
      <c r="A37" s="28">
        <v>28</v>
      </c>
      <c r="B37" s="77">
        <f>INPUT!B36</f>
        <v>0</v>
      </c>
      <c r="C37" s="74"/>
      <c r="D37" s="16"/>
      <c r="E37" s="16"/>
      <c r="F37" s="16"/>
      <c r="G37" s="16"/>
      <c r="H37" s="16"/>
      <c r="I37" s="16"/>
      <c r="J37" s="16"/>
      <c r="K37" s="16"/>
      <c r="L37" s="16"/>
      <c r="M37" s="17" t="str">
        <f t="shared" si="0"/>
        <v/>
      </c>
      <c r="N37" s="17" t="str">
        <f t="shared" si="1"/>
        <v/>
      </c>
      <c r="O37" s="84" t="str">
        <f t="shared" si="2"/>
        <v/>
      </c>
      <c r="P37" s="93"/>
      <c r="Q37" s="16"/>
      <c r="R37" s="16"/>
      <c r="S37" s="16"/>
      <c r="T37" s="16"/>
      <c r="U37" s="17" t="str">
        <f t="shared" si="3"/>
        <v/>
      </c>
      <c r="V37" s="17" t="str">
        <f t="shared" si="4"/>
        <v/>
      </c>
      <c r="W37" s="94" t="str">
        <f t="shared" si="5"/>
        <v/>
      </c>
      <c r="X37" s="93"/>
      <c r="Y37" s="16"/>
      <c r="Z37" s="16"/>
      <c r="AA37" s="17" t="str">
        <f t="shared" si="6"/>
        <v/>
      </c>
      <c r="AB37" s="17" t="str">
        <f t="shared" si="7"/>
        <v/>
      </c>
      <c r="AC37" s="94" t="str">
        <f t="shared" si="8"/>
        <v/>
      </c>
      <c r="AD37" s="99" t="str">
        <f t="shared" si="9"/>
        <v/>
      </c>
      <c r="AE37" s="17" t="str">
        <f>IF(AD37="","",LOOKUP(AD37,SETTINGS!$F$16:$F$56,SETTINGS!$H$16:$H$56))</f>
        <v/>
      </c>
      <c r="AF37" s="14" t="str">
        <f>IF(AE37="","",LOOKUP(AE37,SETTINGS!$G$4:$G$8,SETTINGS!$F$4:$F$8))</f>
        <v/>
      </c>
      <c r="AG37" s="29" t="str">
        <f t="shared" si="10"/>
        <v/>
      </c>
    </row>
    <row r="38" spans="1:33" x14ac:dyDescent="0.25">
      <c r="A38" s="28">
        <v>29</v>
      </c>
      <c r="B38" s="77">
        <f>INPUT!B37</f>
        <v>0</v>
      </c>
      <c r="C38" s="74"/>
      <c r="D38" s="16"/>
      <c r="E38" s="16"/>
      <c r="F38" s="16"/>
      <c r="G38" s="16"/>
      <c r="H38" s="16"/>
      <c r="I38" s="16"/>
      <c r="J38" s="16"/>
      <c r="K38" s="16"/>
      <c r="L38" s="16"/>
      <c r="M38" s="17" t="str">
        <f t="shared" si="0"/>
        <v/>
      </c>
      <c r="N38" s="17" t="str">
        <f t="shared" si="1"/>
        <v/>
      </c>
      <c r="O38" s="84" t="str">
        <f t="shared" si="2"/>
        <v/>
      </c>
      <c r="P38" s="93"/>
      <c r="Q38" s="16"/>
      <c r="R38" s="16"/>
      <c r="S38" s="16"/>
      <c r="T38" s="16"/>
      <c r="U38" s="17" t="str">
        <f t="shared" si="3"/>
        <v/>
      </c>
      <c r="V38" s="17" t="str">
        <f t="shared" si="4"/>
        <v/>
      </c>
      <c r="W38" s="94" t="str">
        <f t="shared" si="5"/>
        <v/>
      </c>
      <c r="X38" s="93"/>
      <c r="Y38" s="16"/>
      <c r="Z38" s="16"/>
      <c r="AA38" s="17" t="str">
        <f t="shared" si="6"/>
        <v/>
      </c>
      <c r="AB38" s="17" t="str">
        <f t="shared" si="7"/>
        <v/>
      </c>
      <c r="AC38" s="94" t="str">
        <f t="shared" si="8"/>
        <v/>
      </c>
      <c r="AD38" s="99" t="str">
        <f t="shared" si="9"/>
        <v/>
      </c>
      <c r="AE38" s="17" t="str">
        <f>IF(AD38="","",LOOKUP(AD38,SETTINGS!$F$16:$F$56,SETTINGS!$H$16:$H$56))</f>
        <v/>
      </c>
      <c r="AF38" s="14" t="str">
        <f>IF(AE38="","",LOOKUP(AE38,SETTINGS!$G$4:$G$8,SETTINGS!$F$4:$F$8))</f>
        <v/>
      </c>
      <c r="AG38" s="29" t="str">
        <f t="shared" si="10"/>
        <v/>
      </c>
    </row>
    <row r="39" spans="1:33" ht="15.75" thickBot="1" x14ac:dyDescent="0.3">
      <c r="A39" s="30">
        <v>30</v>
      </c>
      <c r="B39" s="78">
        <f>INPUT!B38</f>
        <v>0</v>
      </c>
      <c r="C39" s="75"/>
      <c r="D39" s="62"/>
      <c r="E39" s="62"/>
      <c r="F39" s="62"/>
      <c r="G39" s="62"/>
      <c r="H39" s="62"/>
      <c r="I39" s="62"/>
      <c r="J39" s="62"/>
      <c r="K39" s="62"/>
      <c r="L39" s="62"/>
      <c r="M39" s="63" t="str">
        <f t="shared" si="0"/>
        <v/>
      </c>
      <c r="N39" s="63" t="str">
        <f t="shared" si="1"/>
        <v/>
      </c>
      <c r="O39" s="85" t="str">
        <f t="shared" si="2"/>
        <v/>
      </c>
      <c r="P39" s="95"/>
      <c r="Q39" s="62"/>
      <c r="R39" s="62"/>
      <c r="S39" s="62"/>
      <c r="T39" s="62"/>
      <c r="U39" s="63" t="str">
        <f t="shared" si="3"/>
        <v/>
      </c>
      <c r="V39" s="63" t="str">
        <f t="shared" si="4"/>
        <v/>
      </c>
      <c r="W39" s="96" t="str">
        <f t="shared" si="5"/>
        <v/>
      </c>
      <c r="X39" s="95"/>
      <c r="Y39" s="62"/>
      <c r="Z39" s="62"/>
      <c r="AA39" s="63" t="str">
        <f t="shared" si="6"/>
        <v/>
      </c>
      <c r="AB39" s="63" t="str">
        <f t="shared" si="7"/>
        <v/>
      </c>
      <c r="AC39" s="96" t="str">
        <f t="shared" si="8"/>
        <v/>
      </c>
      <c r="AD39" s="100" t="str">
        <f t="shared" si="9"/>
        <v/>
      </c>
      <c r="AE39" s="63" t="str">
        <f>IF(AD39="","",LOOKUP(AD39,SETTINGS!$F$16:$F$56,SETTINGS!$H$16:$H$56))</f>
        <v/>
      </c>
      <c r="AF39" s="32" t="str">
        <f>IF(AE39="","",LOOKUP(AE39,SETTINGS!$G$4:$G$8,SETTINGS!$F$4:$F$8))</f>
        <v/>
      </c>
      <c r="AG39" s="34" t="str">
        <f t="shared" si="10"/>
        <v/>
      </c>
    </row>
  </sheetData>
  <mergeCells count="47">
    <mergeCell ref="Y7:Y8"/>
    <mergeCell ref="Z7:Z8"/>
    <mergeCell ref="AA7:AA8"/>
    <mergeCell ref="AB7:AB8"/>
    <mergeCell ref="AC7:AC8"/>
    <mergeCell ref="T7:T8"/>
    <mergeCell ref="U7:U8"/>
    <mergeCell ref="V7:V8"/>
    <mergeCell ref="W7:W8"/>
    <mergeCell ref="X7:X8"/>
    <mergeCell ref="O7:O8"/>
    <mergeCell ref="P7:P8"/>
    <mergeCell ref="Q7:Q8"/>
    <mergeCell ref="R7:R8"/>
    <mergeCell ref="S7:S8"/>
    <mergeCell ref="J3:J4"/>
    <mergeCell ref="K3:L4"/>
    <mergeCell ref="M3:M4"/>
    <mergeCell ref="N3:T4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1:AJ1"/>
    <mergeCell ref="A6:A8"/>
    <mergeCell ref="B6:B8"/>
    <mergeCell ref="C6:O6"/>
    <mergeCell ref="P6:W6"/>
    <mergeCell ref="X6:AC6"/>
    <mergeCell ref="AD6:AD8"/>
    <mergeCell ref="AE6:AE8"/>
    <mergeCell ref="AF6:AF8"/>
    <mergeCell ref="AG6:AG8"/>
    <mergeCell ref="A3:A4"/>
    <mergeCell ref="B3:C4"/>
    <mergeCell ref="D3:D4"/>
    <mergeCell ref="E3:F4"/>
    <mergeCell ref="G3:G4"/>
    <mergeCell ref="H3:I4"/>
  </mergeCells>
  <conditionalFormatting sqref="AE10:AE39">
    <cfRule type="cellIs" dxfId="5" priority="2" operator="lessThan">
      <formula>75</formula>
    </cfRule>
    <cfRule type="cellIs" dxfId="4" priority="3" operator="greaterThanOrEqual">
      <formula>75</formula>
    </cfRule>
  </conditionalFormatting>
  <dataValidations count="1">
    <dataValidation type="custom" allowBlank="1" showInputMessage="1" showErrorMessage="1" errorTitle="Invalid Score" error="Enter a score from 0 up to the HPS shown in row 9." promptTitle="Score Entry" prompt="Enter the learner's raw score." sqref="X10:Z39 P10:T39 C10:L39" xr:uid="{00000000-0002-0000-0200-000000000000}">
      <formula1>OR(C10="",AND(ISNUMBER(C10),C10&gt;=0,C10&lt;=C$9))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  <pageSetUpPr fitToPage="1"/>
  </sheetPr>
  <dimension ref="A1:AJ39"/>
  <sheetViews>
    <sheetView showGridLines="0" tabSelected="1" zoomScale="85" zoomScaleNormal="85" workbookViewId="0">
      <pane xSplit="2" ySplit="9" topLeftCell="T10" activePane="bottomRight" state="frozen"/>
      <selection pane="topRight" activeCell="C1" sqref="C1"/>
      <selection pane="bottomLeft" activeCell="A10" sqref="A10"/>
      <selection pane="bottomRight" activeCell="D34" sqref="D34"/>
    </sheetView>
  </sheetViews>
  <sheetFormatPr defaultColWidth="8.7109375" defaultRowHeight="15" customHeight="1" x14ac:dyDescent="0.25"/>
  <cols>
    <col min="1" max="1" width="6" customWidth="1"/>
    <col min="2" max="2" width="28" customWidth="1"/>
    <col min="3" max="12" width="8" customWidth="1"/>
    <col min="13" max="15" width="10" customWidth="1"/>
    <col min="16" max="20" width="9" customWidth="1"/>
    <col min="21" max="23" width="10" customWidth="1"/>
    <col min="24" max="26" width="9" customWidth="1"/>
    <col min="27" max="29" width="10" customWidth="1"/>
    <col min="30" max="31" width="12" customWidth="1"/>
    <col min="32" max="32" width="28" customWidth="1"/>
    <col min="33" max="33" width="16" customWidth="1"/>
  </cols>
  <sheetData>
    <row r="1" spans="1:36" ht="27.75" customHeight="1" x14ac:dyDescent="0.25">
      <c r="A1" s="35" t="s">
        <v>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3" spans="1:36" x14ac:dyDescent="0.25">
      <c r="A3" s="52" t="s">
        <v>27</v>
      </c>
      <c r="B3" s="53">
        <f>INPUT!H3</f>
        <v>0</v>
      </c>
      <c r="C3" s="53"/>
      <c r="D3" s="41" t="s">
        <v>6</v>
      </c>
      <c r="E3" s="123" t="str">
        <f>INPUT!H4</f>
        <v>Grade 7 – Section A</v>
      </c>
      <c r="F3" s="123"/>
      <c r="G3" s="52" t="s">
        <v>8</v>
      </c>
      <c r="H3" s="53">
        <f>INPUT!B5</f>
        <v>0</v>
      </c>
      <c r="I3" s="53"/>
      <c r="J3" s="52" t="s">
        <v>9</v>
      </c>
      <c r="K3" s="53">
        <f>INPUT!E5</f>
        <v>0</v>
      </c>
      <c r="L3" s="53"/>
      <c r="M3" s="41" t="s">
        <v>10</v>
      </c>
      <c r="N3" s="53" t="str">
        <f>INPUT!H5</f>
        <v>AP / English / Filipino / Mathematics / Science / GMRC / Values Education</v>
      </c>
      <c r="O3" s="53"/>
      <c r="P3" s="53"/>
      <c r="Q3" s="53"/>
      <c r="R3" s="53"/>
      <c r="S3" s="53"/>
      <c r="T3" s="53"/>
      <c r="U3" s="53"/>
    </row>
    <row r="4" spans="1:36" ht="15" customHeight="1" x14ac:dyDescent="0.25">
      <c r="A4" s="52"/>
      <c r="B4" s="53"/>
      <c r="C4" s="53"/>
      <c r="D4" s="41"/>
      <c r="E4" s="123"/>
      <c r="F4" s="123"/>
      <c r="G4" s="52"/>
      <c r="H4" s="53"/>
      <c r="I4" s="53"/>
      <c r="J4" s="52"/>
      <c r="K4" s="53"/>
      <c r="L4" s="53"/>
      <c r="M4" s="41"/>
      <c r="N4" s="53"/>
      <c r="O4" s="53"/>
      <c r="P4" s="53"/>
      <c r="Q4" s="53"/>
      <c r="R4" s="53"/>
      <c r="S4" s="53"/>
      <c r="T4" s="53"/>
      <c r="U4" s="53"/>
    </row>
    <row r="5" spans="1:36" ht="15" customHeight="1" thickBot="1" x14ac:dyDescent="0.3"/>
    <row r="6" spans="1:36" ht="15" customHeight="1" x14ac:dyDescent="0.25">
      <c r="A6" s="55" t="s">
        <v>14</v>
      </c>
      <c r="B6" s="57" t="s">
        <v>15</v>
      </c>
      <c r="C6" s="97" t="s">
        <v>28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120"/>
      <c r="P6" s="55" t="s">
        <v>29</v>
      </c>
      <c r="Q6" s="56"/>
      <c r="R6" s="56"/>
      <c r="S6" s="56"/>
      <c r="T6" s="56"/>
      <c r="U6" s="56"/>
      <c r="V6" s="56"/>
      <c r="W6" s="57"/>
      <c r="X6" s="55" t="s">
        <v>30</v>
      </c>
      <c r="Y6" s="56"/>
      <c r="Z6" s="56"/>
      <c r="AA6" s="56"/>
      <c r="AB6" s="56"/>
      <c r="AC6" s="57"/>
      <c r="AD6" s="55" t="s">
        <v>31</v>
      </c>
      <c r="AE6" s="56" t="s">
        <v>32</v>
      </c>
      <c r="AF6" s="56" t="s">
        <v>33</v>
      </c>
      <c r="AG6" s="57" t="s">
        <v>34</v>
      </c>
    </row>
    <row r="7" spans="1:36" x14ac:dyDescent="0.25">
      <c r="A7" s="58"/>
      <c r="B7" s="59"/>
      <c r="C7" s="86">
        <v>1</v>
      </c>
      <c r="D7" s="39">
        <v>2</v>
      </c>
      <c r="E7" s="39">
        <v>3</v>
      </c>
      <c r="F7" s="39">
        <v>4</v>
      </c>
      <c r="G7" s="39">
        <v>5</v>
      </c>
      <c r="H7" s="39">
        <v>6</v>
      </c>
      <c r="I7" s="39">
        <v>7</v>
      </c>
      <c r="J7" s="39">
        <v>8</v>
      </c>
      <c r="K7" s="39">
        <v>9</v>
      </c>
      <c r="L7" s="39">
        <v>10</v>
      </c>
      <c r="M7" s="39" t="s">
        <v>35</v>
      </c>
      <c r="N7" s="39" t="s">
        <v>36</v>
      </c>
      <c r="O7" s="87" t="s">
        <v>37</v>
      </c>
      <c r="P7" s="86">
        <v>1</v>
      </c>
      <c r="Q7" s="39">
        <v>2</v>
      </c>
      <c r="R7" s="39">
        <v>3</v>
      </c>
      <c r="S7" s="39">
        <v>4</v>
      </c>
      <c r="T7" s="39">
        <v>5</v>
      </c>
      <c r="U7" s="39" t="s">
        <v>35</v>
      </c>
      <c r="V7" s="39" t="s">
        <v>36</v>
      </c>
      <c r="W7" s="87" t="s">
        <v>37</v>
      </c>
      <c r="X7" s="86" t="s">
        <v>38</v>
      </c>
      <c r="Y7" s="39" t="s">
        <v>39</v>
      </c>
      <c r="Z7" s="39" t="s">
        <v>40</v>
      </c>
      <c r="AA7" s="39" t="s">
        <v>35</v>
      </c>
      <c r="AB7" s="39" t="s">
        <v>36</v>
      </c>
      <c r="AC7" s="87" t="s">
        <v>37</v>
      </c>
      <c r="AD7" s="58"/>
      <c r="AE7" s="45"/>
      <c r="AF7" s="45"/>
      <c r="AG7" s="59"/>
    </row>
    <row r="8" spans="1:36" x14ac:dyDescent="0.25">
      <c r="A8" s="58"/>
      <c r="B8" s="59"/>
      <c r="C8" s="88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89"/>
      <c r="P8" s="88"/>
      <c r="Q8" s="40"/>
      <c r="R8" s="40"/>
      <c r="S8" s="40"/>
      <c r="T8" s="40"/>
      <c r="U8" s="40"/>
      <c r="V8" s="40"/>
      <c r="W8" s="89"/>
      <c r="X8" s="88"/>
      <c r="Y8" s="40"/>
      <c r="Z8" s="40"/>
      <c r="AA8" s="40"/>
      <c r="AB8" s="40"/>
      <c r="AC8" s="89"/>
      <c r="AD8" s="58"/>
      <c r="AE8" s="45"/>
      <c r="AF8" s="45"/>
      <c r="AG8" s="59"/>
    </row>
    <row r="9" spans="1:36" x14ac:dyDescent="0.25">
      <c r="A9" s="60" t="s">
        <v>41</v>
      </c>
      <c r="B9" s="61" t="s">
        <v>42</v>
      </c>
      <c r="C9" s="119">
        <v>10</v>
      </c>
      <c r="D9" s="13">
        <v>10</v>
      </c>
      <c r="E9" s="13">
        <v>10</v>
      </c>
      <c r="F9" s="13">
        <v>10</v>
      </c>
      <c r="G9" s="13">
        <v>10</v>
      </c>
      <c r="H9" s="13">
        <v>10</v>
      </c>
      <c r="I9" s="13">
        <v>10</v>
      </c>
      <c r="J9" s="13">
        <v>10</v>
      </c>
      <c r="K9" s="13">
        <v>10</v>
      </c>
      <c r="L9" s="13">
        <v>10</v>
      </c>
      <c r="M9" s="13">
        <f>SUM(C9:L9)</f>
        <v>100</v>
      </c>
      <c r="N9" s="13">
        <v>100</v>
      </c>
      <c r="O9" s="121">
        <f>INDEX(SETTINGS!$B$4:$B$11,MATCH(INPUT!$H$5,SETTINGS!$A$4:$A$11,0))</f>
        <v>0.2</v>
      </c>
      <c r="P9" s="60">
        <v>25</v>
      </c>
      <c r="Q9" s="13">
        <v>25</v>
      </c>
      <c r="R9" s="13">
        <v>25</v>
      </c>
      <c r="S9" s="13">
        <v>25</v>
      </c>
      <c r="T9" s="13">
        <v>25</v>
      </c>
      <c r="U9" s="13">
        <f>SUM(P9:T9)</f>
        <v>125</v>
      </c>
      <c r="V9" s="13">
        <v>100</v>
      </c>
      <c r="W9" s="122">
        <f>INDEX(SETTINGS!$C$4:$C$11,MATCH(INPUT!$H$5,SETTINGS!$A$4:$A$11,0))</f>
        <v>0.5</v>
      </c>
      <c r="X9" s="60">
        <v>40</v>
      </c>
      <c r="Y9" s="13">
        <v>40</v>
      </c>
      <c r="Z9" s="13">
        <v>50</v>
      </c>
      <c r="AA9" s="13">
        <f>SUM(X9:Z9)</f>
        <v>130</v>
      </c>
      <c r="AB9" s="13">
        <v>100</v>
      </c>
      <c r="AC9" s="122">
        <f>INDEX(SETTINGS!$D$4:$D$11,MATCH(INPUT!$H$5,SETTINGS!$A$4:$A$11,0))</f>
        <v>0.3</v>
      </c>
      <c r="AD9" s="60"/>
      <c r="AE9" s="13"/>
      <c r="AF9" s="13"/>
      <c r="AG9" s="61"/>
    </row>
    <row r="10" spans="1:36" x14ac:dyDescent="0.25">
      <c r="A10" s="28">
        <v>1</v>
      </c>
      <c r="B10" s="77">
        <f>INPUT!B9</f>
        <v>0</v>
      </c>
      <c r="C10" s="74"/>
      <c r="D10" s="16"/>
      <c r="E10" s="16"/>
      <c r="F10" s="16"/>
      <c r="G10" s="16"/>
      <c r="H10" s="16"/>
      <c r="I10" s="16"/>
      <c r="J10" s="16"/>
      <c r="K10" s="16"/>
      <c r="L10" s="16"/>
      <c r="M10" s="17" t="str">
        <f t="shared" ref="M10:M39" si="0">IF(COUNT(C10:L10)=0,"",SUM(C10:L10))</f>
        <v/>
      </c>
      <c r="N10" s="17" t="str">
        <f t="shared" ref="N10:N39" si="1">IFERROR(M10/M$9*100,"")</f>
        <v/>
      </c>
      <c r="O10" s="84" t="str">
        <f t="shared" ref="O10:O39" si="2">IF(N10="","",ROUND(N10*O$9,2))</f>
        <v/>
      </c>
      <c r="P10" s="93"/>
      <c r="Q10" s="16"/>
      <c r="R10" s="16"/>
      <c r="S10" s="16"/>
      <c r="T10" s="16"/>
      <c r="U10" s="17" t="str">
        <f t="shared" ref="U10:U39" si="3">IF(COUNT(P10:T10)=0,"",SUM(P10:T10))</f>
        <v/>
      </c>
      <c r="V10" s="17" t="str">
        <f t="shared" ref="V10:V39" si="4">IFERROR(U10/U$9*100,"")</f>
        <v/>
      </c>
      <c r="W10" s="94" t="str">
        <f t="shared" ref="W10:W39" si="5">IF(V10="","",ROUND(V10*W$9,2))</f>
        <v/>
      </c>
      <c r="X10" s="93"/>
      <c r="Y10" s="16"/>
      <c r="Z10" s="16"/>
      <c r="AA10" s="17" t="str">
        <f t="shared" ref="AA10:AA39" si="6">IF(COUNT(X10:Z10)=0,"",SUM(X10:Z10))</f>
        <v/>
      </c>
      <c r="AB10" s="17" t="str">
        <f t="shared" ref="AB10:AB39" si="7">IFERROR(AA10/AA$9*100,"")</f>
        <v/>
      </c>
      <c r="AC10" s="94" t="str">
        <f t="shared" ref="AC10:AC39" si="8">IF(AB10="","",ROUND(AB10*AC$9,2))</f>
        <v/>
      </c>
      <c r="AD10" s="99" t="str">
        <f t="shared" ref="AD10:AD39" si="9">IF(COUNT(O10,W10,AC10)=0,"",ROUND(SUM(O10,W10,AC10),2))</f>
        <v/>
      </c>
      <c r="AE10" s="17" t="str">
        <f>IF(AD10="","",LOOKUP(AD10,SETTINGS!$F$16:$F$56,SETTINGS!$H$16:$H$56))</f>
        <v/>
      </c>
      <c r="AF10" s="14" t="str">
        <f>IF(AE10="","",LOOKUP(AE10,SETTINGS!$G$4:$G$8,SETTINGS!$F$4:$F$8))</f>
        <v/>
      </c>
      <c r="AG10" s="29" t="str">
        <f t="shared" ref="AG10:AG39" si="10">IF(AE10="","",IF(AE10&gt;=75,"PASSED","INTERVENTION"))</f>
        <v/>
      </c>
    </row>
    <row r="11" spans="1:36" x14ac:dyDescent="0.25">
      <c r="A11" s="28">
        <v>2</v>
      </c>
      <c r="B11" s="77">
        <f>INPUT!B10</f>
        <v>0</v>
      </c>
      <c r="C11" s="74"/>
      <c r="D11" s="16"/>
      <c r="E11" s="16"/>
      <c r="F11" s="16"/>
      <c r="G11" s="16"/>
      <c r="H11" s="16"/>
      <c r="I11" s="16"/>
      <c r="J11" s="16"/>
      <c r="K11" s="16"/>
      <c r="L11" s="16"/>
      <c r="M11" s="17" t="str">
        <f t="shared" si="0"/>
        <v/>
      </c>
      <c r="N11" s="17" t="str">
        <f t="shared" si="1"/>
        <v/>
      </c>
      <c r="O11" s="84" t="str">
        <f t="shared" si="2"/>
        <v/>
      </c>
      <c r="P11" s="93"/>
      <c r="Q11" s="16"/>
      <c r="R11" s="16"/>
      <c r="S11" s="16"/>
      <c r="T11" s="16"/>
      <c r="U11" s="17" t="str">
        <f t="shared" si="3"/>
        <v/>
      </c>
      <c r="V11" s="17" t="str">
        <f t="shared" si="4"/>
        <v/>
      </c>
      <c r="W11" s="94" t="str">
        <f t="shared" si="5"/>
        <v/>
      </c>
      <c r="X11" s="93"/>
      <c r="Y11" s="16"/>
      <c r="Z11" s="16"/>
      <c r="AA11" s="17" t="str">
        <f t="shared" si="6"/>
        <v/>
      </c>
      <c r="AB11" s="17" t="str">
        <f t="shared" si="7"/>
        <v/>
      </c>
      <c r="AC11" s="94" t="str">
        <f t="shared" si="8"/>
        <v/>
      </c>
      <c r="AD11" s="99" t="str">
        <f t="shared" si="9"/>
        <v/>
      </c>
      <c r="AE11" s="17" t="str">
        <f>IF(AD11="","",LOOKUP(AD11,SETTINGS!$F$16:$F$56,SETTINGS!$H$16:$H$56))</f>
        <v/>
      </c>
      <c r="AF11" s="14" t="str">
        <f>IF(AE11="","",LOOKUP(AE11,SETTINGS!$G$4:$G$8,SETTINGS!$F$4:$F$8))</f>
        <v/>
      </c>
      <c r="AG11" s="29" t="str">
        <f t="shared" si="10"/>
        <v/>
      </c>
    </row>
    <row r="12" spans="1:36" x14ac:dyDescent="0.25">
      <c r="A12" s="28">
        <v>3</v>
      </c>
      <c r="B12" s="77">
        <f>INPUT!B11</f>
        <v>0</v>
      </c>
      <c r="C12" s="74"/>
      <c r="D12" s="16"/>
      <c r="E12" s="16"/>
      <c r="F12" s="16"/>
      <c r="G12" s="16"/>
      <c r="H12" s="16"/>
      <c r="I12" s="16"/>
      <c r="J12" s="16"/>
      <c r="K12" s="16"/>
      <c r="L12" s="16"/>
      <c r="M12" s="17" t="str">
        <f t="shared" si="0"/>
        <v/>
      </c>
      <c r="N12" s="17" t="str">
        <f t="shared" si="1"/>
        <v/>
      </c>
      <c r="O12" s="84" t="str">
        <f t="shared" si="2"/>
        <v/>
      </c>
      <c r="P12" s="93"/>
      <c r="Q12" s="16"/>
      <c r="R12" s="16"/>
      <c r="S12" s="16"/>
      <c r="T12" s="16"/>
      <c r="U12" s="17" t="str">
        <f t="shared" si="3"/>
        <v/>
      </c>
      <c r="V12" s="17" t="str">
        <f t="shared" si="4"/>
        <v/>
      </c>
      <c r="W12" s="94" t="str">
        <f t="shared" si="5"/>
        <v/>
      </c>
      <c r="X12" s="93"/>
      <c r="Y12" s="16"/>
      <c r="Z12" s="16"/>
      <c r="AA12" s="17" t="str">
        <f t="shared" si="6"/>
        <v/>
      </c>
      <c r="AB12" s="17" t="str">
        <f t="shared" si="7"/>
        <v/>
      </c>
      <c r="AC12" s="94" t="str">
        <f t="shared" si="8"/>
        <v/>
      </c>
      <c r="AD12" s="99" t="str">
        <f t="shared" si="9"/>
        <v/>
      </c>
      <c r="AE12" s="17" t="str">
        <f>IF(AD12="","",LOOKUP(AD12,SETTINGS!$F$16:$F$56,SETTINGS!$H$16:$H$56))</f>
        <v/>
      </c>
      <c r="AF12" s="14" t="str">
        <f>IF(AE12="","",LOOKUP(AE12,SETTINGS!$G$4:$G$8,SETTINGS!$F$4:$F$8))</f>
        <v/>
      </c>
      <c r="AG12" s="29" t="str">
        <f t="shared" si="10"/>
        <v/>
      </c>
    </row>
    <row r="13" spans="1:36" x14ac:dyDescent="0.25">
      <c r="A13" s="28">
        <v>4</v>
      </c>
      <c r="B13" s="77">
        <f>INPUT!B12</f>
        <v>0</v>
      </c>
      <c r="C13" s="74"/>
      <c r="D13" s="16"/>
      <c r="E13" s="16"/>
      <c r="F13" s="16"/>
      <c r="G13" s="16"/>
      <c r="H13" s="16"/>
      <c r="I13" s="16"/>
      <c r="J13" s="16"/>
      <c r="K13" s="16"/>
      <c r="L13" s="16"/>
      <c r="M13" s="17" t="str">
        <f t="shared" si="0"/>
        <v/>
      </c>
      <c r="N13" s="17" t="str">
        <f t="shared" si="1"/>
        <v/>
      </c>
      <c r="O13" s="84" t="str">
        <f t="shared" si="2"/>
        <v/>
      </c>
      <c r="P13" s="93"/>
      <c r="Q13" s="16"/>
      <c r="R13" s="16"/>
      <c r="S13" s="16"/>
      <c r="T13" s="16"/>
      <c r="U13" s="17" t="str">
        <f t="shared" si="3"/>
        <v/>
      </c>
      <c r="V13" s="17" t="str">
        <f t="shared" si="4"/>
        <v/>
      </c>
      <c r="W13" s="94" t="str">
        <f t="shared" si="5"/>
        <v/>
      </c>
      <c r="X13" s="93"/>
      <c r="Y13" s="16"/>
      <c r="Z13" s="16"/>
      <c r="AA13" s="17" t="str">
        <f t="shared" si="6"/>
        <v/>
      </c>
      <c r="AB13" s="17" t="str">
        <f t="shared" si="7"/>
        <v/>
      </c>
      <c r="AC13" s="94" t="str">
        <f t="shared" si="8"/>
        <v/>
      </c>
      <c r="AD13" s="99" t="str">
        <f t="shared" si="9"/>
        <v/>
      </c>
      <c r="AE13" s="17" t="str">
        <f>IF(AD13="","",LOOKUP(AD13,SETTINGS!$F$16:$F$56,SETTINGS!$H$16:$H$56))</f>
        <v/>
      </c>
      <c r="AF13" s="14" t="str">
        <f>IF(AE13="","",LOOKUP(AE13,SETTINGS!$G$4:$G$8,SETTINGS!$F$4:$F$8))</f>
        <v/>
      </c>
      <c r="AG13" s="29" t="str">
        <f t="shared" si="10"/>
        <v/>
      </c>
    </row>
    <row r="14" spans="1:36" x14ac:dyDescent="0.25">
      <c r="A14" s="28">
        <v>5</v>
      </c>
      <c r="B14" s="77">
        <f>INPUT!B13</f>
        <v>0</v>
      </c>
      <c r="C14" s="74"/>
      <c r="D14" s="16"/>
      <c r="E14" s="16"/>
      <c r="F14" s="16"/>
      <c r="G14" s="16"/>
      <c r="H14" s="16"/>
      <c r="I14" s="16"/>
      <c r="J14" s="16"/>
      <c r="K14" s="16"/>
      <c r="L14" s="16"/>
      <c r="M14" s="17" t="str">
        <f t="shared" si="0"/>
        <v/>
      </c>
      <c r="N14" s="17" t="str">
        <f t="shared" si="1"/>
        <v/>
      </c>
      <c r="O14" s="84" t="str">
        <f t="shared" si="2"/>
        <v/>
      </c>
      <c r="P14" s="93"/>
      <c r="Q14" s="16"/>
      <c r="R14" s="16"/>
      <c r="S14" s="16"/>
      <c r="T14" s="16"/>
      <c r="U14" s="17" t="str">
        <f t="shared" si="3"/>
        <v/>
      </c>
      <c r="V14" s="17" t="str">
        <f t="shared" si="4"/>
        <v/>
      </c>
      <c r="W14" s="94" t="str">
        <f t="shared" si="5"/>
        <v/>
      </c>
      <c r="X14" s="93"/>
      <c r="Y14" s="16"/>
      <c r="Z14" s="16"/>
      <c r="AA14" s="17" t="str">
        <f t="shared" si="6"/>
        <v/>
      </c>
      <c r="AB14" s="17" t="str">
        <f t="shared" si="7"/>
        <v/>
      </c>
      <c r="AC14" s="94" t="str">
        <f t="shared" si="8"/>
        <v/>
      </c>
      <c r="AD14" s="99" t="str">
        <f t="shared" si="9"/>
        <v/>
      </c>
      <c r="AE14" s="17" t="str">
        <f>IF(AD14="","",LOOKUP(AD14,SETTINGS!$F$16:$F$56,SETTINGS!$H$16:$H$56))</f>
        <v/>
      </c>
      <c r="AF14" s="14" t="str">
        <f>IF(AE14="","",LOOKUP(AE14,SETTINGS!$G$4:$G$8,SETTINGS!$F$4:$F$8))</f>
        <v/>
      </c>
      <c r="AG14" s="29" t="str">
        <f t="shared" si="10"/>
        <v/>
      </c>
    </row>
    <row r="15" spans="1:36" x14ac:dyDescent="0.25">
      <c r="A15" s="28">
        <v>6</v>
      </c>
      <c r="B15" s="77">
        <f>INPUT!B14</f>
        <v>0</v>
      </c>
      <c r="C15" s="74"/>
      <c r="D15" s="16"/>
      <c r="E15" s="16"/>
      <c r="F15" s="16"/>
      <c r="G15" s="16"/>
      <c r="H15" s="16"/>
      <c r="I15" s="16"/>
      <c r="J15" s="16"/>
      <c r="K15" s="16"/>
      <c r="L15" s="16"/>
      <c r="M15" s="17" t="str">
        <f t="shared" si="0"/>
        <v/>
      </c>
      <c r="N15" s="17" t="str">
        <f t="shared" si="1"/>
        <v/>
      </c>
      <c r="O15" s="84" t="str">
        <f t="shared" si="2"/>
        <v/>
      </c>
      <c r="P15" s="93"/>
      <c r="Q15" s="16"/>
      <c r="R15" s="16"/>
      <c r="S15" s="16"/>
      <c r="T15" s="16"/>
      <c r="U15" s="17" t="str">
        <f t="shared" si="3"/>
        <v/>
      </c>
      <c r="V15" s="17" t="str">
        <f t="shared" si="4"/>
        <v/>
      </c>
      <c r="W15" s="94" t="str">
        <f t="shared" si="5"/>
        <v/>
      </c>
      <c r="X15" s="93"/>
      <c r="Y15" s="16"/>
      <c r="Z15" s="16"/>
      <c r="AA15" s="17" t="str">
        <f t="shared" si="6"/>
        <v/>
      </c>
      <c r="AB15" s="17" t="str">
        <f t="shared" si="7"/>
        <v/>
      </c>
      <c r="AC15" s="94" t="str">
        <f t="shared" si="8"/>
        <v/>
      </c>
      <c r="AD15" s="99" t="str">
        <f t="shared" si="9"/>
        <v/>
      </c>
      <c r="AE15" s="17" t="str">
        <f>IF(AD15="","",LOOKUP(AD15,SETTINGS!$F$16:$F$56,SETTINGS!$H$16:$H$56))</f>
        <v/>
      </c>
      <c r="AF15" s="14" t="str">
        <f>IF(AE15="","",LOOKUP(AE15,SETTINGS!$G$4:$G$8,SETTINGS!$F$4:$F$8))</f>
        <v/>
      </c>
      <c r="AG15" s="29" t="str">
        <f t="shared" si="10"/>
        <v/>
      </c>
    </row>
    <row r="16" spans="1:36" x14ac:dyDescent="0.25">
      <c r="A16" s="28">
        <v>7</v>
      </c>
      <c r="B16" s="77">
        <f>INPUT!B15</f>
        <v>0</v>
      </c>
      <c r="C16" s="74"/>
      <c r="D16" s="16"/>
      <c r="E16" s="16"/>
      <c r="F16" s="16"/>
      <c r="G16" s="16"/>
      <c r="H16" s="16"/>
      <c r="I16" s="16"/>
      <c r="J16" s="16"/>
      <c r="K16" s="16"/>
      <c r="L16" s="16"/>
      <c r="M16" s="17" t="str">
        <f t="shared" si="0"/>
        <v/>
      </c>
      <c r="N16" s="17" t="str">
        <f t="shared" si="1"/>
        <v/>
      </c>
      <c r="O16" s="84" t="str">
        <f t="shared" si="2"/>
        <v/>
      </c>
      <c r="P16" s="93"/>
      <c r="Q16" s="16"/>
      <c r="R16" s="16"/>
      <c r="S16" s="16"/>
      <c r="T16" s="16"/>
      <c r="U16" s="17" t="str">
        <f t="shared" si="3"/>
        <v/>
      </c>
      <c r="V16" s="17" t="str">
        <f t="shared" si="4"/>
        <v/>
      </c>
      <c r="W16" s="94" t="str">
        <f t="shared" si="5"/>
        <v/>
      </c>
      <c r="X16" s="93"/>
      <c r="Y16" s="16"/>
      <c r="Z16" s="16"/>
      <c r="AA16" s="17" t="str">
        <f t="shared" si="6"/>
        <v/>
      </c>
      <c r="AB16" s="17" t="str">
        <f t="shared" si="7"/>
        <v/>
      </c>
      <c r="AC16" s="94" t="str">
        <f t="shared" si="8"/>
        <v/>
      </c>
      <c r="AD16" s="99" t="str">
        <f t="shared" si="9"/>
        <v/>
      </c>
      <c r="AE16" s="17" t="str">
        <f>IF(AD16="","",LOOKUP(AD16,SETTINGS!$F$16:$F$56,SETTINGS!$H$16:$H$56))</f>
        <v/>
      </c>
      <c r="AF16" s="14" t="str">
        <f>IF(AE16="","",LOOKUP(AE16,SETTINGS!$G$4:$G$8,SETTINGS!$F$4:$F$8))</f>
        <v/>
      </c>
      <c r="AG16" s="29" t="str">
        <f t="shared" si="10"/>
        <v/>
      </c>
    </row>
    <row r="17" spans="1:33" x14ac:dyDescent="0.25">
      <c r="A17" s="28">
        <v>8</v>
      </c>
      <c r="B17" s="77">
        <f>INPUT!B16</f>
        <v>0</v>
      </c>
      <c r="C17" s="74"/>
      <c r="D17" s="16"/>
      <c r="E17" s="16"/>
      <c r="F17" s="16"/>
      <c r="G17" s="16"/>
      <c r="H17" s="16"/>
      <c r="I17" s="16"/>
      <c r="J17" s="16"/>
      <c r="K17" s="16"/>
      <c r="L17" s="16"/>
      <c r="M17" s="17" t="str">
        <f t="shared" si="0"/>
        <v/>
      </c>
      <c r="N17" s="17" t="str">
        <f t="shared" si="1"/>
        <v/>
      </c>
      <c r="O17" s="84" t="str">
        <f t="shared" si="2"/>
        <v/>
      </c>
      <c r="P17" s="93"/>
      <c r="Q17" s="16"/>
      <c r="R17" s="16"/>
      <c r="S17" s="16"/>
      <c r="T17" s="16"/>
      <c r="U17" s="17" t="str">
        <f t="shared" si="3"/>
        <v/>
      </c>
      <c r="V17" s="17" t="str">
        <f t="shared" si="4"/>
        <v/>
      </c>
      <c r="W17" s="94" t="str">
        <f t="shared" si="5"/>
        <v/>
      </c>
      <c r="X17" s="93"/>
      <c r="Y17" s="16"/>
      <c r="Z17" s="16"/>
      <c r="AA17" s="17" t="str">
        <f t="shared" si="6"/>
        <v/>
      </c>
      <c r="AB17" s="17" t="str">
        <f t="shared" si="7"/>
        <v/>
      </c>
      <c r="AC17" s="94" t="str">
        <f t="shared" si="8"/>
        <v/>
      </c>
      <c r="AD17" s="99" t="str">
        <f t="shared" si="9"/>
        <v/>
      </c>
      <c r="AE17" s="17" t="str">
        <f>IF(AD17="","",LOOKUP(AD17,SETTINGS!$F$16:$F$56,SETTINGS!$H$16:$H$56))</f>
        <v/>
      </c>
      <c r="AF17" s="14" t="str">
        <f>IF(AE17="","",LOOKUP(AE17,SETTINGS!$G$4:$G$8,SETTINGS!$F$4:$F$8))</f>
        <v/>
      </c>
      <c r="AG17" s="29" t="str">
        <f t="shared" si="10"/>
        <v/>
      </c>
    </row>
    <row r="18" spans="1:33" x14ac:dyDescent="0.25">
      <c r="A18" s="28">
        <v>9</v>
      </c>
      <c r="B18" s="77">
        <f>INPUT!B17</f>
        <v>0</v>
      </c>
      <c r="C18" s="74"/>
      <c r="D18" s="16"/>
      <c r="E18" s="16"/>
      <c r="F18" s="16"/>
      <c r="G18" s="16"/>
      <c r="H18" s="16"/>
      <c r="I18" s="16"/>
      <c r="J18" s="16"/>
      <c r="K18" s="16"/>
      <c r="L18" s="16"/>
      <c r="M18" s="17" t="str">
        <f t="shared" si="0"/>
        <v/>
      </c>
      <c r="N18" s="17" t="str">
        <f t="shared" si="1"/>
        <v/>
      </c>
      <c r="O18" s="84" t="str">
        <f t="shared" si="2"/>
        <v/>
      </c>
      <c r="P18" s="93"/>
      <c r="Q18" s="16"/>
      <c r="R18" s="16"/>
      <c r="S18" s="16"/>
      <c r="T18" s="16"/>
      <c r="U18" s="17" t="str">
        <f t="shared" si="3"/>
        <v/>
      </c>
      <c r="V18" s="17" t="str">
        <f t="shared" si="4"/>
        <v/>
      </c>
      <c r="W18" s="94" t="str">
        <f t="shared" si="5"/>
        <v/>
      </c>
      <c r="X18" s="93"/>
      <c r="Y18" s="16"/>
      <c r="Z18" s="16"/>
      <c r="AA18" s="17" t="str">
        <f t="shared" si="6"/>
        <v/>
      </c>
      <c r="AB18" s="17" t="str">
        <f t="shared" si="7"/>
        <v/>
      </c>
      <c r="AC18" s="94" t="str">
        <f t="shared" si="8"/>
        <v/>
      </c>
      <c r="AD18" s="99" t="str">
        <f t="shared" si="9"/>
        <v/>
      </c>
      <c r="AE18" s="17" t="str">
        <f>IF(AD18="","",LOOKUP(AD18,SETTINGS!$F$16:$F$56,SETTINGS!$H$16:$H$56))</f>
        <v/>
      </c>
      <c r="AF18" s="14" t="str">
        <f>IF(AE18="","",LOOKUP(AE18,SETTINGS!$G$4:$G$8,SETTINGS!$F$4:$F$8))</f>
        <v/>
      </c>
      <c r="AG18" s="29" t="str">
        <f t="shared" si="10"/>
        <v/>
      </c>
    </row>
    <row r="19" spans="1:33" x14ac:dyDescent="0.25">
      <c r="A19" s="28">
        <v>10</v>
      </c>
      <c r="B19" s="77">
        <f>INPUT!B18</f>
        <v>0</v>
      </c>
      <c r="C19" s="74"/>
      <c r="D19" s="16"/>
      <c r="E19" s="16"/>
      <c r="F19" s="16"/>
      <c r="G19" s="16"/>
      <c r="H19" s="16"/>
      <c r="I19" s="16"/>
      <c r="J19" s="16"/>
      <c r="K19" s="16"/>
      <c r="L19" s="16"/>
      <c r="M19" s="17" t="str">
        <f t="shared" si="0"/>
        <v/>
      </c>
      <c r="N19" s="17" t="str">
        <f t="shared" si="1"/>
        <v/>
      </c>
      <c r="O19" s="84" t="str">
        <f t="shared" si="2"/>
        <v/>
      </c>
      <c r="P19" s="93"/>
      <c r="Q19" s="16"/>
      <c r="R19" s="16"/>
      <c r="S19" s="16"/>
      <c r="T19" s="16"/>
      <c r="U19" s="17" t="str">
        <f t="shared" si="3"/>
        <v/>
      </c>
      <c r="V19" s="17" t="str">
        <f t="shared" si="4"/>
        <v/>
      </c>
      <c r="W19" s="94" t="str">
        <f t="shared" si="5"/>
        <v/>
      </c>
      <c r="X19" s="93"/>
      <c r="Y19" s="16"/>
      <c r="Z19" s="16"/>
      <c r="AA19" s="17" t="str">
        <f t="shared" si="6"/>
        <v/>
      </c>
      <c r="AB19" s="17" t="str">
        <f t="shared" si="7"/>
        <v/>
      </c>
      <c r="AC19" s="94" t="str">
        <f t="shared" si="8"/>
        <v/>
      </c>
      <c r="AD19" s="99" t="str">
        <f t="shared" si="9"/>
        <v/>
      </c>
      <c r="AE19" s="17" t="str">
        <f>IF(AD19="","",LOOKUP(AD19,SETTINGS!$F$16:$F$56,SETTINGS!$H$16:$H$56))</f>
        <v/>
      </c>
      <c r="AF19" s="14" t="str">
        <f>IF(AE19="","",LOOKUP(AE19,SETTINGS!$G$4:$G$8,SETTINGS!$F$4:$F$8))</f>
        <v/>
      </c>
      <c r="AG19" s="29" t="str">
        <f t="shared" si="10"/>
        <v/>
      </c>
    </row>
    <row r="20" spans="1:33" x14ac:dyDescent="0.25">
      <c r="A20" s="28">
        <v>11</v>
      </c>
      <c r="B20" s="77">
        <f>INPUT!B19</f>
        <v>0</v>
      </c>
      <c r="C20" s="74"/>
      <c r="D20" s="16"/>
      <c r="E20" s="16"/>
      <c r="F20" s="16"/>
      <c r="G20" s="16"/>
      <c r="H20" s="16"/>
      <c r="I20" s="16"/>
      <c r="J20" s="16"/>
      <c r="K20" s="16"/>
      <c r="L20" s="16"/>
      <c r="M20" s="17" t="str">
        <f t="shared" si="0"/>
        <v/>
      </c>
      <c r="N20" s="17" t="str">
        <f t="shared" si="1"/>
        <v/>
      </c>
      <c r="O20" s="84" t="str">
        <f t="shared" si="2"/>
        <v/>
      </c>
      <c r="P20" s="93"/>
      <c r="Q20" s="16"/>
      <c r="R20" s="16"/>
      <c r="S20" s="16"/>
      <c r="T20" s="16"/>
      <c r="U20" s="17" t="str">
        <f t="shared" si="3"/>
        <v/>
      </c>
      <c r="V20" s="17" t="str">
        <f t="shared" si="4"/>
        <v/>
      </c>
      <c r="W20" s="94" t="str">
        <f t="shared" si="5"/>
        <v/>
      </c>
      <c r="X20" s="93"/>
      <c r="Y20" s="16"/>
      <c r="Z20" s="16"/>
      <c r="AA20" s="17" t="str">
        <f t="shared" si="6"/>
        <v/>
      </c>
      <c r="AB20" s="17" t="str">
        <f t="shared" si="7"/>
        <v/>
      </c>
      <c r="AC20" s="94" t="str">
        <f t="shared" si="8"/>
        <v/>
      </c>
      <c r="AD20" s="99" t="str">
        <f t="shared" si="9"/>
        <v/>
      </c>
      <c r="AE20" s="17" t="str">
        <f>IF(AD20="","",LOOKUP(AD20,SETTINGS!$F$16:$F$56,SETTINGS!$H$16:$H$56))</f>
        <v/>
      </c>
      <c r="AF20" s="14" t="str">
        <f>IF(AE20="","",LOOKUP(AE20,SETTINGS!$G$4:$G$8,SETTINGS!$F$4:$F$8))</f>
        <v/>
      </c>
      <c r="AG20" s="29" t="str">
        <f t="shared" si="10"/>
        <v/>
      </c>
    </row>
    <row r="21" spans="1:33" x14ac:dyDescent="0.25">
      <c r="A21" s="28">
        <v>12</v>
      </c>
      <c r="B21" s="77">
        <f>INPUT!B20</f>
        <v>0</v>
      </c>
      <c r="C21" s="74"/>
      <c r="D21" s="16"/>
      <c r="E21" s="16"/>
      <c r="F21" s="16"/>
      <c r="G21" s="16"/>
      <c r="H21" s="16"/>
      <c r="I21" s="16"/>
      <c r="J21" s="16"/>
      <c r="K21" s="16"/>
      <c r="L21" s="16"/>
      <c r="M21" s="17" t="str">
        <f t="shared" si="0"/>
        <v/>
      </c>
      <c r="N21" s="17" t="str">
        <f t="shared" si="1"/>
        <v/>
      </c>
      <c r="O21" s="84" t="str">
        <f t="shared" si="2"/>
        <v/>
      </c>
      <c r="P21" s="93"/>
      <c r="Q21" s="16"/>
      <c r="R21" s="16"/>
      <c r="S21" s="16"/>
      <c r="T21" s="16"/>
      <c r="U21" s="17" t="str">
        <f t="shared" si="3"/>
        <v/>
      </c>
      <c r="V21" s="17" t="str">
        <f t="shared" si="4"/>
        <v/>
      </c>
      <c r="W21" s="94" t="str">
        <f t="shared" si="5"/>
        <v/>
      </c>
      <c r="X21" s="93"/>
      <c r="Y21" s="16"/>
      <c r="Z21" s="16"/>
      <c r="AA21" s="17" t="str">
        <f t="shared" si="6"/>
        <v/>
      </c>
      <c r="AB21" s="17" t="str">
        <f t="shared" si="7"/>
        <v/>
      </c>
      <c r="AC21" s="94" t="str">
        <f t="shared" si="8"/>
        <v/>
      </c>
      <c r="AD21" s="99" t="str">
        <f t="shared" si="9"/>
        <v/>
      </c>
      <c r="AE21" s="17" t="str">
        <f>IF(AD21="","",LOOKUP(AD21,SETTINGS!$F$16:$F$56,SETTINGS!$H$16:$H$56))</f>
        <v/>
      </c>
      <c r="AF21" s="14" t="str">
        <f>IF(AE21="","",LOOKUP(AE21,SETTINGS!$G$4:$G$8,SETTINGS!$F$4:$F$8))</f>
        <v/>
      </c>
      <c r="AG21" s="29" t="str">
        <f t="shared" si="10"/>
        <v/>
      </c>
    </row>
    <row r="22" spans="1:33" x14ac:dyDescent="0.25">
      <c r="A22" s="28">
        <v>13</v>
      </c>
      <c r="B22" s="77">
        <f>INPUT!B21</f>
        <v>0</v>
      </c>
      <c r="C22" s="74"/>
      <c r="D22" s="16"/>
      <c r="E22" s="16"/>
      <c r="F22" s="16"/>
      <c r="G22" s="16"/>
      <c r="H22" s="16"/>
      <c r="I22" s="16"/>
      <c r="J22" s="16"/>
      <c r="K22" s="16"/>
      <c r="L22" s="16"/>
      <c r="M22" s="17" t="str">
        <f t="shared" si="0"/>
        <v/>
      </c>
      <c r="N22" s="17" t="str">
        <f t="shared" si="1"/>
        <v/>
      </c>
      <c r="O22" s="84" t="str">
        <f t="shared" si="2"/>
        <v/>
      </c>
      <c r="P22" s="93"/>
      <c r="Q22" s="16"/>
      <c r="R22" s="16"/>
      <c r="S22" s="16"/>
      <c r="T22" s="16"/>
      <c r="U22" s="17" t="str">
        <f t="shared" si="3"/>
        <v/>
      </c>
      <c r="V22" s="17" t="str">
        <f t="shared" si="4"/>
        <v/>
      </c>
      <c r="W22" s="94" t="str">
        <f t="shared" si="5"/>
        <v/>
      </c>
      <c r="X22" s="93"/>
      <c r="Y22" s="16"/>
      <c r="Z22" s="16"/>
      <c r="AA22" s="17" t="str">
        <f t="shared" si="6"/>
        <v/>
      </c>
      <c r="AB22" s="17" t="str">
        <f t="shared" si="7"/>
        <v/>
      </c>
      <c r="AC22" s="94" t="str">
        <f t="shared" si="8"/>
        <v/>
      </c>
      <c r="AD22" s="99" t="str">
        <f t="shared" si="9"/>
        <v/>
      </c>
      <c r="AE22" s="17" t="str">
        <f>IF(AD22="","",LOOKUP(AD22,SETTINGS!$F$16:$F$56,SETTINGS!$H$16:$H$56))</f>
        <v/>
      </c>
      <c r="AF22" s="14" t="str">
        <f>IF(AE22="","",LOOKUP(AE22,SETTINGS!$G$4:$G$8,SETTINGS!$F$4:$F$8))</f>
        <v/>
      </c>
      <c r="AG22" s="29" t="str">
        <f t="shared" si="10"/>
        <v/>
      </c>
    </row>
    <row r="23" spans="1:33" x14ac:dyDescent="0.25">
      <c r="A23" s="28">
        <v>14</v>
      </c>
      <c r="B23" s="77">
        <f>INPUT!B22</f>
        <v>0</v>
      </c>
      <c r="C23" s="74"/>
      <c r="D23" s="16"/>
      <c r="E23" s="16"/>
      <c r="F23" s="16"/>
      <c r="G23" s="16"/>
      <c r="H23" s="16"/>
      <c r="I23" s="16"/>
      <c r="J23" s="16"/>
      <c r="K23" s="16"/>
      <c r="L23" s="16"/>
      <c r="M23" s="17" t="str">
        <f t="shared" si="0"/>
        <v/>
      </c>
      <c r="N23" s="17" t="str">
        <f t="shared" si="1"/>
        <v/>
      </c>
      <c r="O23" s="84" t="str">
        <f t="shared" si="2"/>
        <v/>
      </c>
      <c r="P23" s="93"/>
      <c r="Q23" s="16"/>
      <c r="R23" s="16"/>
      <c r="S23" s="16"/>
      <c r="T23" s="16"/>
      <c r="U23" s="17" t="str">
        <f t="shared" si="3"/>
        <v/>
      </c>
      <c r="V23" s="17" t="str">
        <f t="shared" si="4"/>
        <v/>
      </c>
      <c r="W23" s="94" t="str">
        <f t="shared" si="5"/>
        <v/>
      </c>
      <c r="X23" s="93"/>
      <c r="Y23" s="16"/>
      <c r="Z23" s="16"/>
      <c r="AA23" s="17" t="str">
        <f t="shared" si="6"/>
        <v/>
      </c>
      <c r="AB23" s="17" t="str">
        <f t="shared" si="7"/>
        <v/>
      </c>
      <c r="AC23" s="94" t="str">
        <f t="shared" si="8"/>
        <v/>
      </c>
      <c r="AD23" s="99" t="str">
        <f t="shared" si="9"/>
        <v/>
      </c>
      <c r="AE23" s="17" t="str">
        <f>IF(AD23="","",LOOKUP(AD23,SETTINGS!$F$16:$F$56,SETTINGS!$H$16:$H$56))</f>
        <v/>
      </c>
      <c r="AF23" s="14" t="str">
        <f>IF(AE23="","",LOOKUP(AE23,SETTINGS!$G$4:$G$8,SETTINGS!$F$4:$F$8))</f>
        <v/>
      </c>
      <c r="AG23" s="29" t="str">
        <f t="shared" si="10"/>
        <v/>
      </c>
    </row>
    <row r="24" spans="1:33" x14ac:dyDescent="0.25">
      <c r="A24" s="28">
        <v>15</v>
      </c>
      <c r="B24" s="77">
        <f>INPUT!B23</f>
        <v>0</v>
      </c>
      <c r="C24" s="74"/>
      <c r="D24" s="16"/>
      <c r="E24" s="16"/>
      <c r="F24" s="16"/>
      <c r="G24" s="16"/>
      <c r="H24" s="16"/>
      <c r="I24" s="16"/>
      <c r="J24" s="16"/>
      <c r="K24" s="16"/>
      <c r="L24" s="16"/>
      <c r="M24" s="17" t="str">
        <f t="shared" si="0"/>
        <v/>
      </c>
      <c r="N24" s="17" t="str">
        <f t="shared" si="1"/>
        <v/>
      </c>
      <c r="O24" s="84" t="str">
        <f t="shared" si="2"/>
        <v/>
      </c>
      <c r="P24" s="93"/>
      <c r="Q24" s="16"/>
      <c r="R24" s="16"/>
      <c r="S24" s="16"/>
      <c r="T24" s="16"/>
      <c r="U24" s="17" t="str">
        <f t="shared" si="3"/>
        <v/>
      </c>
      <c r="V24" s="17" t="str">
        <f t="shared" si="4"/>
        <v/>
      </c>
      <c r="W24" s="94" t="str">
        <f t="shared" si="5"/>
        <v/>
      </c>
      <c r="X24" s="93"/>
      <c r="Y24" s="16"/>
      <c r="Z24" s="16"/>
      <c r="AA24" s="17" t="str">
        <f t="shared" si="6"/>
        <v/>
      </c>
      <c r="AB24" s="17" t="str">
        <f t="shared" si="7"/>
        <v/>
      </c>
      <c r="AC24" s="94" t="str">
        <f t="shared" si="8"/>
        <v/>
      </c>
      <c r="AD24" s="99" t="str">
        <f t="shared" si="9"/>
        <v/>
      </c>
      <c r="AE24" s="17" t="str">
        <f>IF(AD24="","",LOOKUP(AD24,SETTINGS!$F$16:$F$56,SETTINGS!$H$16:$H$56))</f>
        <v/>
      </c>
      <c r="AF24" s="14" t="str">
        <f>IF(AE24="","",LOOKUP(AE24,SETTINGS!$G$4:$G$8,SETTINGS!$F$4:$F$8))</f>
        <v/>
      </c>
      <c r="AG24" s="29" t="str">
        <f t="shared" si="10"/>
        <v/>
      </c>
    </row>
    <row r="25" spans="1:33" x14ac:dyDescent="0.25">
      <c r="A25" s="28">
        <v>16</v>
      </c>
      <c r="B25" s="77">
        <f>INPUT!B24</f>
        <v>0</v>
      </c>
      <c r="C25" s="74"/>
      <c r="D25" s="16"/>
      <c r="E25" s="16"/>
      <c r="F25" s="16"/>
      <c r="G25" s="16"/>
      <c r="H25" s="16"/>
      <c r="I25" s="16"/>
      <c r="J25" s="16"/>
      <c r="K25" s="16"/>
      <c r="L25" s="16"/>
      <c r="M25" s="17" t="str">
        <f t="shared" si="0"/>
        <v/>
      </c>
      <c r="N25" s="17" t="str">
        <f t="shared" si="1"/>
        <v/>
      </c>
      <c r="O25" s="84" t="str">
        <f t="shared" si="2"/>
        <v/>
      </c>
      <c r="P25" s="93"/>
      <c r="Q25" s="16"/>
      <c r="R25" s="16"/>
      <c r="S25" s="16"/>
      <c r="T25" s="16"/>
      <c r="U25" s="17" t="str">
        <f t="shared" si="3"/>
        <v/>
      </c>
      <c r="V25" s="17" t="str">
        <f t="shared" si="4"/>
        <v/>
      </c>
      <c r="W25" s="94" t="str">
        <f t="shared" si="5"/>
        <v/>
      </c>
      <c r="X25" s="93"/>
      <c r="Y25" s="16"/>
      <c r="Z25" s="16"/>
      <c r="AA25" s="17" t="str">
        <f t="shared" si="6"/>
        <v/>
      </c>
      <c r="AB25" s="17" t="str">
        <f t="shared" si="7"/>
        <v/>
      </c>
      <c r="AC25" s="94" t="str">
        <f t="shared" si="8"/>
        <v/>
      </c>
      <c r="AD25" s="99" t="str">
        <f t="shared" si="9"/>
        <v/>
      </c>
      <c r="AE25" s="17" t="str">
        <f>IF(AD25="","",LOOKUP(AD25,SETTINGS!$F$16:$F$56,SETTINGS!$H$16:$H$56))</f>
        <v/>
      </c>
      <c r="AF25" s="14" t="str">
        <f>IF(AE25="","",LOOKUP(AE25,SETTINGS!$G$4:$G$8,SETTINGS!$F$4:$F$8))</f>
        <v/>
      </c>
      <c r="AG25" s="29" t="str">
        <f t="shared" si="10"/>
        <v/>
      </c>
    </row>
    <row r="26" spans="1:33" x14ac:dyDescent="0.25">
      <c r="A26" s="28">
        <v>17</v>
      </c>
      <c r="B26" s="77">
        <f>INPUT!B25</f>
        <v>0</v>
      </c>
      <c r="C26" s="74"/>
      <c r="D26" s="16"/>
      <c r="E26" s="16"/>
      <c r="F26" s="16"/>
      <c r="G26" s="16"/>
      <c r="H26" s="16"/>
      <c r="I26" s="16"/>
      <c r="J26" s="16"/>
      <c r="K26" s="16"/>
      <c r="L26" s="16"/>
      <c r="M26" s="17" t="str">
        <f t="shared" si="0"/>
        <v/>
      </c>
      <c r="N26" s="17" t="str">
        <f t="shared" si="1"/>
        <v/>
      </c>
      <c r="O26" s="84" t="str">
        <f t="shared" si="2"/>
        <v/>
      </c>
      <c r="P26" s="93"/>
      <c r="Q26" s="16"/>
      <c r="R26" s="16"/>
      <c r="S26" s="16"/>
      <c r="T26" s="16"/>
      <c r="U26" s="17" t="str">
        <f t="shared" si="3"/>
        <v/>
      </c>
      <c r="V26" s="17" t="str">
        <f t="shared" si="4"/>
        <v/>
      </c>
      <c r="W26" s="94" t="str">
        <f t="shared" si="5"/>
        <v/>
      </c>
      <c r="X26" s="93"/>
      <c r="Y26" s="16"/>
      <c r="Z26" s="16"/>
      <c r="AA26" s="17" t="str">
        <f t="shared" si="6"/>
        <v/>
      </c>
      <c r="AB26" s="17" t="str">
        <f t="shared" si="7"/>
        <v/>
      </c>
      <c r="AC26" s="94" t="str">
        <f t="shared" si="8"/>
        <v/>
      </c>
      <c r="AD26" s="99" t="str">
        <f t="shared" si="9"/>
        <v/>
      </c>
      <c r="AE26" s="17" t="str">
        <f>IF(AD26="","",LOOKUP(AD26,SETTINGS!$F$16:$F$56,SETTINGS!$H$16:$H$56))</f>
        <v/>
      </c>
      <c r="AF26" s="14" t="str">
        <f>IF(AE26="","",LOOKUP(AE26,SETTINGS!$G$4:$G$8,SETTINGS!$F$4:$F$8))</f>
        <v/>
      </c>
      <c r="AG26" s="29" t="str">
        <f t="shared" si="10"/>
        <v/>
      </c>
    </row>
    <row r="27" spans="1:33" x14ac:dyDescent="0.25">
      <c r="A27" s="28">
        <v>18</v>
      </c>
      <c r="B27" s="77">
        <f>INPUT!B26</f>
        <v>0</v>
      </c>
      <c r="C27" s="74"/>
      <c r="D27" s="16"/>
      <c r="E27" s="16"/>
      <c r="F27" s="16"/>
      <c r="G27" s="16"/>
      <c r="H27" s="16"/>
      <c r="I27" s="16"/>
      <c r="J27" s="16"/>
      <c r="K27" s="16"/>
      <c r="L27" s="16"/>
      <c r="M27" s="17" t="str">
        <f t="shared" si="0"/>
        <v/>
      </c>
      <c r="N27" s="17" t="str">
        <f t="shared" si="1"/>
        <v/>
      </c>
      <c r="O27" s="84" t="str">
        <f t="shared" si="2"/>
        <v/>
      </c>
      <c r="P27" s="93"/>
      <c r="Q27" s="16"/>
      <c r="R27" s="16"/>
      <c r="S27" s="16"/>
      <c r="T27" s="16"/>
      <c r="U27" s="17" t="str">
        <f t="shared" si="3"/>
        <v/>
      </c>
      <c r="V27" s="17" t="str">
        <f t="shared" si="4"/>
        <v/>
      </c>
      <c r="W27" s="94" t="str">
        <f t="shared" si="5"/>
        <v/>
      </c>
      <c r="X27" s="93"/>
      <c r="Y27" s="16"/>
      <c r="Z27" s="16"/>
      <c r="AA27" s="17" t="str">
        <f t="shared" si="6"/>
        <v/>
      </c>
      <c r="AB27" s="17" t="str">
        <f t="shared" si="7"/>
        <v/>
      </c>
      <c r="AC27" s="94" t="str">
        <f t="shared" si="8"/>
        <v/>
      </c>
      <c r="AD27" s="99" t="str">
        <f t="shared" si="9"/>
        <v/>
      </c>
      <c r="AE27" s="17" t="str">
        <f>IF(AD27="","",LOOKUP(AD27,SETTINGS!$F$16:$F$56,SETTINGS!$H$16:$H$56))</f>
        <v/>
      </c>
      <c r="AF27" s="14" t="str">
        <f>IF(AE27="","",LOOKUP(AE27,SETTINGS!$G$4:$G$8,SETTINGS!$F$4:$F$8))</f>
        <v/>
      </c>
      <c r="AG27" s="29" t="str">
        <f t="shared" si="10"/>
        <v/>
      </c>
    </row>
    <row r="28" spans="1:33" x14ac:dyDescent="0.25">
      <c r="A28" s="28">
        <v>19</v>
      </c>
      <c r="B28" s="77">
        <f>INPUT!B27</f>
        <v>0</v>
      </c>
      <c r="C28" s="74"/>
      <c r="D28" s="16"/>
      <c r="E28" s="16"/>
      <c r="F28" s="16"/>
      <c r="G28" s="16"/>
      <c r="H28" s="16"/>
      <c r="I28" s="16"/>
      <c r="J28" s="16"/>
      <c r="K28" s="16"/>
      <c r="L28" s="16"/>
      <c r="M28" s="17" t="str">
        <f t="shared" si="0"/>
        <v/>
      </c>
      <c r="N28" s="17" t="str">
        <f t="shared" si="1"/>
        <v/>
      </c>
      <c r="O28" s="84" t="str">
        <f t="shared" si="2"/>
        <v/>
      </c>
      <c r="P28" s="93"/>
      <c r="Q28" s="16"/>
      <c r="R28" s="16"/>
      <c r="S28" s="16"/>
      <c r="T28" s="16"/>
      <c r="U28" s="17" t="str">
        <f t="shared" si="3"/>
        <v/>
      </c>
      <c r="V28" s="17" t="str">
        <f t="shared" si="4"/>
        <v/>
      </c>
      <c r="W28" s="94" t="str">
        <f t="shared" si="5"/>
        <v/>
      </c>
      <c r="X28" s="93"/>
      <c r="Y28" s="16"/>
      <c r="Z28" s="16"/>
      <c r="AA28" s="17" t="str">
        <f t="shared" si="6"/>
        <v/>
      </c>
      <c r="AB28" s="17" t="str">
        <f t="shared" si="7"/>
        <v/>
      </c>
      <c r="AC28" s="94" t="str">
        <f t="shared" si="8"/>
        <v/>
      </c>
      <c r="AD28" s="99" t="str">
        <f t="shared" si="9"/>
        <v/>
      </c>
      <c r="AE28" s="17" t="str">
        <f>IF(AD28="","",LOOKUP(AD28,SETTINGS!$F$16:$F$56,SETTINGS!$H$16:$H$56))</f>
        <v/>
      </c>
      <c r="AF28" s="14" t="str">
        <f>IF(AE28="","",LOOKUP(AE28,SETTINGS!$G$4:$G$8,SETTINGS!$F$4:$F$8))</f>
        <v/>
      </c>
      <c r="AG28" s="29" t="str">
        <f t="shared" si="10"/>
        <v/>
      </c>
    </row>
    <row r="29" spans="1:33" x14ac:dyDescent="0.25">
      <c r="A29" s="28">
        <v>20</v>
      </c>
      <c r="B29" s="77">
        <f>INPUT!B28</f>
        <v>0</v>
      </c>
      <c r="C29" s="74"/>
      <c r="D29" s="16"/>
      <c r="E29" s="16"/>
      <c r="F29" s="16"/>
      <c r="G29" s="16"/>
      <c r="H29" s="16"/>
      <c r="I29" s="16"/>
      <c r="J29" s="16"/>
      <c r="K29" s="16"/>
      <c r="L29" s="16"/>
      <c r="M29" s="17" t="str">
        <f t="shared" si="0"/>
        <v/>
      </c>
      <c r="N29" s="17" t="str">
        <f t="shared" si="1"/>
        <v/>
      </c>
      <c r="O29" s="84" t="str">
        <f t="shared" si="2"/>
        <v/>
      </c>
      <c r="P29" s="93"/>
      <c r="Q29" s="16"/>
      <c r="R29" s="16"/>
      <c r="S29" s="16"/>
      <c r="T29" s="16"/>
      <c r="U29" s="17" t="str">
        <f t="shared" si="3"/>
        <v/>
      </c>
      <c r="V29" s="17" t="str">
        <f t="shared" si="4"/>
        <v/>
      </c>
      <c r="W29" s="94" t="str">
        <f t="shared" si="5"/>
        <v/>
      </c>
      <c r="X29" s="93"/>
      <c r="Y29" s="16"/>
      <c r="Z29" s="16"/>
      <c r="AA29" s="17" t="str">
        <f t="shared" si="6"/>
        <v/>
      </c>
      <c r="AB29" s="17" t="str">
        <f t="shared" si="7"/>
        <v/>
      </c>
      <c r="AC29" s="94" t="str">
        <f t="shared" si="8"/>
        <v/>
      </c>
      <c r="AD29" s="99" t="str">
        <f t="shared" si="9"/>
        <v/>
      </c>
      <c r="AE29" s="17" t="str">
        <f>IF(AD29="","",LOOKUP(AD29,SETTINGS!$F$16:$F$56,SETTINGS!$H$16:$H$56))</f>
        <v/>
      </c>
      <c r="AF29" s="14" t="str">
        <f>IF(AE29="","",LOOKUP(AE29,SETTINGS!$G$4:$G$8,SETTINGS!$F$4:$F$8))</f>
        <v/>
      </c>
      <c r="AG29" s="29" t="str">
        <f t="shared" si="10"/>
        <v/>
      </c>
    </row>
    <row r="30" spans="1:33" x14ac:dyDescent="0.25">
      <c r="A30" s="28">
        <v>21</v>
      </c>
      <c r="B30" s="77">
        <f>INPUT!B29</f>
        <v>0</v>
      </c>
      <c r="C30" s="74"/>
      <c r="D30" s="16"/>
      <c r="E30" s="16"/>
      <c r="F30" s="16"/>
      <c r="G30" s="16"/>
      <c r="H30" s="16"/>
      <c r="I30" s="16"/>
      <c r="J30" s="16"/>
      <c r="K30" s="16"/>
      <c r="L30" s="16"/>
      <c r="M30" s="17" t="str">
        <f t="shared" si="0"/>
        <v/>
      </c>
      <c r="N30" s="17" t="str">
        <f t="shared" si="1"/>
        <v/>
      </c>
      <c r="O30" s="84" t="str">
        <f t="shared" si="2"/>
        <v/>
      </c>
      <c r="P30" s="93"/>
      <c r="Q30" s="16"/>
      <c r="R30" s="16"/>
      <c r="S30" s="16"/>
      <c r="T30" s="16"/>
      <c r="U30" s="17" t="str">
        <f t="shared" si="3"/>
        <v/>
      </c>
      <c r="V30" s="17" t="str">
        <f t="shared" si="4"/>
        <v/>
      </c>
      <c r="W30" s="94" t="str">
        <f t="shared" si="5"/>
        <v/>
      </c>
      <c r="X30" s="93"/>
      <c r="Y30" s="16"/>
      <c r="Z30" s="16"/>
      <c r="AA30" s="17" t="str">
        <f t="shared" si="6"/>
        <v/>
      </c>
      <c r="AB30" s="17" t="str">
        <f t="shared" si="7"/>
        <v/>
      </c>
      <c r="AC30" s="94" t="str">
        <f t="shared" si="8"/>
        <v/>
      </c>
      <c r="AD30" s="99" t="str">
        <f t="shared" si="9"/>
        <v/>
      </c>
      <c r="AE30" s="17" t="str">
        <f>IF(AD30="","",LOOKUP(AD30,SETTINGS!$F$16:$F$56,SETTINGS!$H$16:$H$56))</f>
        <v/>
      </c>
      <c r="AF30" s="14" t="str">
        <f>IF(AE30="","",LOOKUP(AE30,SETTINGS!$G$4:$G$8,SETTINGS!$F$4:$F$8))</f>
        <v/>
      </c>
      <c r="AG30" s="29" t="str">
        <f t="shared" si="10"/>
        <v/>
      </c>
    </row>
    <row r="31" spans="1:33" x14ac:dyDescent="0.25">
      <c r="A31" s="28">
        <v>22</v>
      </c>
      <c r="B31" s="77">
        <f>INPUT!B30</f>
        <v>0</v>
      </c>
      <c r="C31" s="74"/>
      <c r="D31" s="16"/>
      <c r="E31" s="16"/>
      <c r="F31" s="16"/>
      <c r="G31" s="16"/>
      <c r="H31" s="16"/>
      <c r="I31" s="16"/>
      <c r="J31" s="16"/>
      <c r="K31" s="16"/>
      <c r="L31" s="16"/>
      <c r="M31" s="17" t="str">
        <f t="shared" si="0"/>
        <v/>
      </c>
      <c r="N31" s="17" t="str">
        <f t="shared" si="1"/>
        <v/>
      </c>
      <c r="O31" s="84" t="str">
        <f t="shared" si="2"/>
        <v/>
      </c>
      <c r="P31" s="93"/>
      <c r="Q31" s="16"/>
      <c r="R31" s="16"/>
      <c r="S31" s="16"/>
      <c r="T31" s="16"/>
      <c r="U31" s="17" t="str">
        <f t="shared" si="3"/>
        <v/>
      </c>
      <c r="V31" s="17" t="str">
        <f t="shared" si="4"/>
        <v/>
      </c>
      <c r="W31" s="94" t="str">
        <f t="shared" si="5"/>
        <v/>
      </c>
      <c r="X31" s="93"/>
      <c r="Y31" s="16"/>
      <c r="Z31" s="16"/>
      <c r="AA31" s="17" t="str">
        <f t="shared" si="6"/>
        <v/>
      </c>
      <c r="AB31" s="17" t="str">
        <f t="shared" si="7"/>
        <v/>
      </c>
      <c r="AC31" s="94" t="str">
        <f t="shared" si="8"/>
        <v/>
      </c>
      <c r="AD31" s="99" t="str">
        <f t="shared" si="9"/>
        <v/>
      </c>
      <c r="AE31" s="17" t="str">
        <f>IF(AD31="","",LOOKUP(AD31,SETTINGS!$F$16:$F$56,SETTINGS!$H$16:$H$56))</f>
        <v/>
      </c>
      <c r="AF31" s="14" t="str">
        <f>IF(AE31="","",LOOKUP(AE31,SETTINGS!$G$4:$G$8,SETTINGS!$F$4:$F$8))</f>
        <v/>
      </c>
      <c r="AG31" s="29" t="str">
        <f t="shared" si="10"/>
        <v/>
      </c>
    </row>
    <row r="32" spans="1:33" x14ac:dyDescent="0.25">
      <c r="A32" s="28">
        <v>23</v>
      </c>
      <c r="B32" s="77">
        <f>INPUT!B31</f>
        <v>0</v>
      </c>
      <c r="C32" s="74"/>
      <c r="D32" s="16"/>
      <c r="E32" s="16"/>
      <c r="F32" s="16"/>
      <c r="G32" s="16"/>
      <c r="H32" s="16"/>
      <c r="I32" s="16"/>
      <c r="J32" s="16"/>
      <c r="K32" s="16"/>
      <c r="L32" s="16"/>
      <c r="M32" s="17" t="str">
        <f t="shared" si="0"/>
        <v/>
      </c>
      <c r="N32" s="17" t="str">
        <f t="shared" si="1"/>
        <v/>
      </c>
      <c r="O32" s="84" t="str">
        <f t="shared" si="2"/>
        <v/>
      </c>
      <c r="P32" s="93"/>
      <c r="Q32" s="16"/>
      <c r="R32" s="16"/>
      <c r="S32" s="16"/>
      <c r="T32" s="16"/>
      <c r="U32" s="17" t="str">
        <f t="shared" si="3"/>
        <v/>
      </c>
      <c r="V32" s="17" t="str">
        <f t="shared" si="4"/>
        <v/>
      </c>
      <c r="W32" s="94" t="str">
        <f t="shared" si="5"/>
        <v/>
      </c>
      <c r="X32" s="93"/>
      <c r="Y32" s="16"/>
      <c r="Z32" s="16"/>
      <c r="AA32" s="17" t="str">
        <f t="shared" si="6"/>
        <v/>
      </c>
      <c r="AB32" s="17" t="str">
        <f t="shared" si="7"/>
        <v/>
      </c>
      <c r="AC32" s="94" t="str">
        <f t="shared" si="8"/>
        <v/>
      </c>
      <c r="AD32" s="99" t="str">
        <f t="shared" si="9"/>
        <v/>
      </c>
      <c r="AE32" s="17" t="str">
        <f>IF(AD32="","",LOOKUP(AD32,SETTINGS!$F$16:$F$56,SETTINGS!$H$16:$H$56))</f>
        <v/>
      </c>
      <c r="AF32" s="14" t="str">
        <f>IF(AE32="","",LOOKUP(AE32,SETTINGS!$G$4:$G$8,SETTINGS!$F$4:$F$8))</f>
        <v/>
      </c>
      <c r="AG32" s="29" t="str">
        <f t="shared" si="10"/>
        <v/>
      </c>
    </row>
    <row r="33" spans="1:33" x14ac:dyDescent="0.25">
      <c r="A33" s="28">
        <v>24</v>
      </c>
      <c r="B33" s="77">
        <f>INPUT!B32</f>
        <v>0</v>
      </c>
      <c r="C33" s="74"/>
      <c r="D33" s="16"/>
      <c r="E33" s="16"/>
      <c r="F33" s="16"/>
      <c r="G33" s="16"/>
      <c r="H33" s="16"/>
      <c r="I33" s="16"/>
      <c r="J33" s="16"/>
      <c r="K33" s="16"/>
      <c r="L33" s="16"/>
      <c r="M33" s="17" t="str">
        <f t="shared" si="0"/>
        <v/>
      </c>
      <c r="N33" s="17" t="str">
        <f t="shared" si="1"/>
        <v/>
      </c>
      <c r="O33" s="84" t="str">
        <f t="shared" si="2"/>
        <v/>
      </c>
      <c r="P33" s="93"/>
      <c r="Q33" s="16"/>
      <c r="R33" s="16"/>
      <c r="S33" s="16"/>
      <c r="T33" s="16"/>
      <c r="U33" s="17" t="str">
        <f t="shared" si="3"/>
        <v/>
      </c>
      <c r="V33" s="17" t="str">
        <f t="shared" si="4"/>
        <v/>
      </c>
      <c r="W33" s="94" t="str">
        <f t="shared" si="5"/>
        <v/>
      </c>
      <c r="X33" s="93"/>
      <c r="Y33" s="16"/>
      <c r="Z33" s="16"/>
      <c r="AA33" s="17" t="str">
        <f t="shared" si="6"/>
        <v/>
      </c>
      <c r="AB33" s="17" t="str">
        <f t="shared" si="7"/>
        <v/>
      </c>
      <c r="AC33" s="94" t="str">
        <f t="shared" si="8"/>
        <v/>
      </c>
      <c r="AD33" s="99" t="str">
        <f t="shared" si="9"/>
        <v/>
      </c>
      <c r="AE33" s="17" t="str">
        <f>IF(AD33="","",LOOKUP(AD33,SETTINGS!$F$16:$F$56,SETTINGS!$H$16:$H$56))</f>
        <v/>
      </c>
      <c r="AF33" s="14" t="str">
        <f>IF(AE33="","",LOOKUP(AE33,SETTINGS!$G$4:$G$8,SETTINGS!$F$4:$F$8))</f>
        <v/>
      </c>
      <c r="AG33" s="29" t="str">
        <f t="shared" si="10"/>
        <v/>
      </c>
    </row>
    <row r="34" spans="1:33" x14ac:dyDescent="0.25">
      <c r="A34" s="28">
        <v>25</v>
      </c>
      <c r="B34" s="77">
        <f>INPUT!B33</f>
        <v>0</v>
      </c>
      <c r="C34" s="74"/>
      <c r="D34" s="16"/>
      <c r="E34" s="16"/>
      <c r="F34" s="16"/>
      <c r="G34" s="16"/>
      <c r="H34" s="16"/>
      <c r="I34" s="16"/>
      <c r="J34" s="16"/>
      <c r="K34" s="16"/>
      <c r="L34" s="16"/>
      <c r="M34" s="17" t="str">
        <f t="shared" si="0"/>
        <v/>
      </c>
      <c r="N34" s="17" t="str">
        <f t="shared" si="1"/>
        <v/>
      </c>
      <c r="O34" s="84" t="str">
        <f t="shared" si="2"/>
        <v/>
      </c>
      <c r="P34" s="93"/>
      <c r="Q34" s="16"/>
      <c r="R34" s="16"/>
      <c r="S34" s="16"/>
      <c r="T34" s="16"/>
      <c r="U34" s="17" t="str">
        <f t="shared" si="3"/>
        <v/>
      </c>
      <c r="V34" s="17" t="str">
        <f t="shared" si="4"/>
        <v/>
      </c>
      <c r="W34" s="94" t="str">
        <f t="shared" si="5"/>
        <v/>
      </c>
      <c r="X34" s="93"/>
      <c r="Y34" s="16"/>
      <c r="Z34" s="16"/>
      <c r="AA34" s="17" t="str">
        <f t="shared" si="6"/>
        <v/>
      </c>
      <c r="AB34" s="17" t="str">
        <f t="shared" si="7"/>
        <v/>
      </c>
      <c r="AC34" s="94" t="str">
        <f t="shared" si="8"/>
        <v/>
      </c>
      <c r="AD34" s="99" t="str">
        <f t="shared" si="9"/>
        <v/>
      </c>
      <c r="AE34" s="17" t="str">
        <f>IF(AD34="","",LOOKUP(AD34,SETTINGS!$F$16:$F$56,SETTINGS!$H$16:$H$56))</f>
        <v/>
      </c>
      <c r="AF34" s="14" t="str">
        <f>IF(AE34="","",LOOKUP(AE34,SETTINGS!$G$4:$G$8,SETTINGS!$F$4:$F$8))</f>
        <v/>
      </c>
      <c r="AG34" s="29" t="str">
        <f t="shared" si="10"/>
        <v/>
      </c>
    </row>
    <row r="35" spans="1:33" x14ac:dyDescent="0.25">
      <c r="A35" s="28">
        <v>26</v>
      </c>
      <c r="B35" s="77">
        <f>INPUT!B34</f>
        <v>0</v>
      </c>
      <c r="C35" s="74"/>
      <c r="D35" s="16"/>
      <c r="E35" s="16"/>
      <c r="F35" s="16"/>
      <c r="G35" s="16"/>
      <c r="H35" s="16"/>
      <c r="I35" s="16"/>
      <c r="J35" s="16"/>
      <c r="K35" s="16"/>
      <c r="L35" s="16"/>
      <c r="M35" s="17" t="str">
        <f t="shared" si="0"/>
        <v/>
      </c>
      <c r="N35" s="17" t="str">
        <f t="shared" si="1"/>
        <v/>
      </c>
      <c r="O35" s="84" t="str">
        <f t="shared" si="2"/>
        <v/>
      </c>
      <c r="P35" s="93"/>
      <c r="Q35" s="16"/>
      <c r="R35" s="16"/>
      <c r="S35" s="16"/>
      <c r="T35" s="16"/>
      <c r="U35" s="17" t="str">
        <f t="shared" si="3"/>
        <v/>
      </c>
      <c r="V35" s="17" t="str">
        <f t="shared" si="4"/>
        <v/>
      </c>
      <c r="W35" s="94" t="str">
        <f t="shared" si="5"/>
        <v/>
      </c>
      <c r="X35" s="93"/>
      <c r="Y35" s="16"/>
      <c r="Z35" s="16"/>
      <c r="AA35" s="17" t="str">
        <f t="shared" si="6"/>
        <v/>
      </c>
      <c r="AB35" s="17" t="str">
        <f t="shared" si="7"/>
        <v/>
      </c>
      <c r="AC35" s="94" t="str">
        <f t="shared" si="8"/>
        <v/>
      </c>
      <c r="AD35" s="99" t="str">
        <f t="shared" si="9"/>
        <v/>
      </c>
      <c r="AE35" s="17" t="str">
        <f>IF(AD35="","",LOOKUP(AD35,SETTINGS!$F$16:$F$56,SETTINGS!$H$16:$H$56))</f>
        <v/>
      </c>
      <c r="AF35" s="14" t="str">
        <f>IF(AE35="","",LOOKUP(AE35,SETTINGS!$G$4:$G$8,SETTINGS!$F$4:$F$8))</f>
        <v/>
      </c>
      <c r="AG35" s="29" t="str">
        <f t="shared" si="10"/>
        <v/>
      </c>
    </row>
    <row r="36" spans="1:33" x14ac:dyDescent="0.25">
      <c r="A36" s="28">
        <v>27</v>
      </c>
      <c r="B36" s="77">
        <f>INPUT!B35</f>
        <v>0</v>
      </c>
      <c r="C36" s="74"/>
      <c r="D36" s="16"/>
      <c r="E36" s="16"/>
      <c r="F36" s="16"/>
      <c r="G36" s="16"/>
      <c r="H36" s="16"/>
      <c r="I36" s="16"/>
      <c r="J36" s="16"/>
      <c r="K36" s="16"/>
      <c r="L36" s="16"/>
      <c r="M36" s="17" t="str">
        <f t="shared" si="0"/>
        <v/>
      </c>
      <c r="N36" s="17" t="str">
        <f t="shared" si="1"/>
        <v/>
      </c>
      <c r="O36" s="84" t="str">
        <f t="shared" si="2"/>
        <v/>
      </c>
      <c r="P36" s="93"/>
      <c r="Q36" s="16"/>
      <c r="R36" s="16"/>
      <c r="S36" s="16"/>
      <c r="T36" s="16"/>
      <c r="U36" s="17" t="str">
        <f t="shared" si="3"/>
        <v/>
      </c>
      <c r="V36" s="17" t="str">
        <f t="shared" si="4"/>
        <v/>
      </c>
      <c r="W36" s="94" t="str">
        <f t="shared" si="5"/>
        <v/>
      </c>
      <c r="X36" s="93"/>
      <c r="Y36" s="16"/>
      <c r="Z36" s="16"/>
      <c r="AA36" s="17" t="str">
        <f t="shared" si="6"/>
        <v/>
      </c>
      <c r="AB36" s="17" t="str">
        <f t="shared" si="7"/>
        <v/>
      </c>
      <c r="AC36" s="94" t="str">
        <f t="shared" si="8"/>
        <v/>
      </c>
      <c r="AD36" s="99" t="str">
        <f t="shared" si="9"/>
        <v/>
      </c>
      <c r="AE36" s="17" t="str">
        <f>IF(AD36="","",LOOKUP(AD36,SETTINGS!$F$16:$F$56,SETTINGS!$H$16:$H$56))</f>
        <v/>
      </c>
      <c r="AF36" s="14" t="str">
        <f>IF(AE36="","",LOOKUP(AE36,SETTINGS!$G$4:$G$8,SETTINGS!$F$4:$F$8))</f>
        <v/>
      </c>
      <c r="AG36" s="29" t="str">
        <f t="shared" si="10"/>
        <v/>
      </c>
    </row>
    <row r="37" spans="1:33" x14ac:dyDescent="0.25">
      <c r="A37" s="28">
        <v>28</v>
      </c>
      <c r="B37" s="77">
        <f>INPUT!B36</f>
        <v>0</v>
      </c>
      <c r="C37" s="74"/>
      <c r="D37" s="16"/>
      <c r="E37" s="16"/>
      <c r="F37" s="16"/>
      <c r="G37" s="16"/>
      <c r="H37" s="16"/>
      <c r="I37" s="16"/>
      <c r="J37" s="16"/>
      <c r="K37" s="16"/>
      <c r="L37" s="16"/>
      <c r="M37" s="17" t="str">
        <f t="shared" si="0"/>
        <v/>
      </c>
      <c r="N37" s="17" t="str">
        <f t="shared" si="1"/>
        <v/>
      </c>
      <c r="O37" s="84" t="str">
        <f t="shared" si="2"/>
        <v/>
      </c>
      <c r="P37" s="93"/>
      <c r="Q37" s="16"/>
      <c r="R37" s="16"/>
      <c r="S37" s="16"/>
      <c r="T37" s="16"/>
      <c r="U37" s="17" t="str">
        <f t="shared" si="3"/>
        <v/>
      </c>
      <c r="V37" s="17" t="str">
        <f t="shared" si="4"/>
        <v/>
      </c>
      <c r="W37" s="94" t="str">
        <f t="shared" si="5"/>
        <v/>
      </c>
      <c r="X37" s="93"/>
      <c r="Y37" s="16"/>
      <c r="Z37" s="16"/>
      <c r="AA37" s="17" t="str">
        <f t="shared" si="6"/>
        <v/>
      </c>
      <c r="AB37" s="17" t="str">
        <f t="shared" si="7"/>
        <v/>
      </c>
      <c r="AC37" s="94" t="str">
        <f t="shared" si="8"/>
        <v/>
      </c>
      <c r="AD37" s="99" t="str">
        <f t="shared" si="9"/>
        <v/>
      </c>
      <c r="AE37" s="17" t="str">
        <f>IF(AD37="","",LOOKUP(AD37,SETTINGS!$F$16:$F$56,SETTINGS!$H$16:$H$56))</f>
        <v/>
      </c>
      <c r="AF37" s="14" t="str">
        <f>IF(AE37="","",LOOKUP(AE37,SETTINGS!$G$4:$G$8,SETTINGS!$F$4:$F$8))</f>
        <v/>
      </c>
      <c r="AG37" s="29" t="str">
        <f t="shared" si="10"/>
        <v/>
      </c>
    </row>
    <row r="38" spans="1:33" x14ac:dyDescent="0.25">
      <c r="A38" s="28">
        <v>29</v>
      </c>
      <c r="B38" s="77">
        <f>INPUT!B37</f>
        <v>0</v>
      </c>
      <c r="C38" s="74"/>
      <c r="D38" s="16"/>
      <c r="E38" s="16"/>
      <c r="F38" s="16"/>
      <c r="G38" s="16"/>
      <c r="H38" s="16"/>
      <c r="I38" s="16"/>
      <c r="J38" s="16"/>
      <c r="K38" s="16"/>
      <c r="L38" s="16"/>
      <c r="M38" s="17" t="str">
        <f t="shared" si="0"/>
        <v/>
      </c>
      <c r="N38" s="17" t="str">
        <f t="shared" si="1"/>
        <v/>
      </c>
      <c r="O38" s="84" t="str">
        <f t="shared" si="2"/>
        <v/>
      </c>
      <c r="P38" s="93"/>
      <c r="Q38" s="16"/>
      <c r="R38" s="16"/>
      <c r="S38" s="16"/>
      <c r="T38" s="16"/>
      <c r="U38" s="17" t="str">
        <f t="shared" si="3"/>
        <v/>
      </c>
      <c r="V38" s="17" t="str">
        <f t="shared" si="4"/>
        <v/>
      </c>
      <c r="W38" s="94" t="str">
        <f t="shared" si="5"/>
        <v/>
      </c>
      <c r="X38" s="93"/>
      <c r="Y38" s="16"/>
      <c r="Z38" s="16"/>
      <c r="AA38" s="17" t="str">
        <f t="shared" si="6"/>
        <v/>
      </c>
      <c r="AB38" s="17" t="str">
        <f t="shared" si="7"/>
        <v/>
      </c>
      <c r="AC38" s="94" t="str">
        <f t="shared" si="8"/>
        <v/>
      </c>
      <c r="AD38" s="99" t="str">
        <f t="shared" si="9"/>
        <v/>
      </c>
      <c r="AE38" s="17" t="str">
        <f>IF(AD38="","",LOOKUP(AD38,SETTINGS!$F$16:$F$56,SETTINGS!$H$16:$H$56))</f>
        <v/>
      </c>
      <c r="AF38" s="14" t="str">
        <f>IF(AE38="","",LOOKUP(AE38,SETTINGS!$G$4:$G$8,SETTINGS!$F$4:$F$8))</f>
        <v/>
      </c>
      <c r="AG38" s="29" t="str">
        <f t="shared" si="10"/>
        <v/>
      </c>
    </row>
    <row r="39" spans="1:33" ht="15.75" thickBot="1" x14ac:dyDescent="0.3">
      <c r="A39" s="30">
        <v>30</v>
      </c>
      <c r="B39" s="78">
        <f>INPUT!B38</f>
        <v>0</v>
      </c>
      <c r="C39" s="74"/>
      <c r="D39" s="16"/>
      <c r="E39" s="16"/>
      <c r="F39" s="16"/>
      <c r="G39" s="16"/>
      <c r="H39" s="16"/>
      <c r="I39" s="16"/>
      <c r="J39" s="16"/>
      <c r="K39" s="16"/>
      <c r="L39" s="16"/>
      <c r="M39" s="17" t="str">
        <f t="shared" si="0"/>
        <v/>
      </c>
      <c r="N39" s="17" t="str">
        <f t="shared" si="1"/>
        <v/>
      </c>
      <c r="O39" s="84" t="str">
        <f t="shared" si="2"/>
        <v/>
      </c>
      <c r="P39" s="95"/>
      <c r="Q39" s="62"/>
      <c r="R39" s="62"/>
      <c r="S39" s="62"/>
      <c r="T39" s="62"/>
      <c r="U39" s="63" t="str">
        <f t="shared" si="3"/>
        <v/>
      </c>
      <c r="V39" s="63" t="str">
        <f t="shared" si="4"/>
        <v/>
      </c>
      <c r="W39" s="96" t="str">
        <f t="shared" si="5"/>
        <v/>
      </c>
      <c r="X39" s="95"/>
      <c r="Y39" s="62"/>
      <c r="Z39" s="62"/>
      <c r="AA39" s="63" t="str">
        <f t="shared" si="6"/>
        <v/>
      </c>
      <c r="AB39" s="63" t="str">
        <f t="shared" si="7"/>
        <v/>
      </c>
      <c r="AC39" s="96" t="str">
        <f t="shared" si="8"/>
        <v/>
      </c>
      <c r="AD39" s="100" t="str">
        <f t="shared" si="9"/>
        <v/>
      </c>
      <c r="AE39" s="63" t="str">
        <f>IF(AD39="","",LOOKUP(AD39,SETTINGS!$F$16:$F$56,SETTINGS!$H$16:$H$56))</f>
        <v/>
      </c>
      <c r="AF39" s="32" t="str">
        <f>IF(AE39="","",LOOKUP(AE39,SETTINGS!$G$4:$G$8,SETTINGS!$F$4:$F$8))</f>
        <v/>
      </c>
      <c r="AG39" s="34" t="str">
        <f t="shared" si="10"/>
        <v/>
      </c>
    </row>
  </sheetData>
  <mergeCells count="47">
    <mergeCell ref="AC7:AC8"/>
    <mergeCell ref="A3:A4"/>
    <mergeCell ref="B3:C4"/>
    <mergeCell ref="D3:D4"/>
    <mergeCell ref="E3:F4"/>
    <mergeCell ref="G3:G4"/>
    <mergeCell ref="H3:I4"/>
    <mergeCell ref="J3:J4"/>
    <mergeCell ref="K3:L4"/>
    <mergeCell ref="M3:M4"/>
    <mergeCell ref="N3:U4"/>
    <mergeCell ref="X7:X8"/>
    <mergeCell ref="Y7:Y8"/>
    <mergeCell ref="Z7:Z8"/>
    <mergeCell ref="AA7:AA8"/>
    <mergeCell ref="AB7:AB8"/>
    <mergeCell ref="S7:S8"/>
    <mergeCell ref="T7:T8"/>
    <mergeCell ref="U7:U8"/>
    <mergeCell ref="V7:V8"/>
    <mergeCell ref="W7:W8"/>
    <mergeCell ref="N7:N8"/>
    <mergeCell ref="O7:O8"/>
    <mergeCell ref="P7:P8"/>
    <mergeCell ref="Q7:Q8"/>
    <mergeCell ref="R7:R8"/>
    <mergeCell ref="I7:I8"/>
    <mergeCell ref="J7:J8"/>
    <mergeCell ref="K7:K8"/>
    <mergeCell ref="L7:L8"/>
    <mergeCell ref="M7:M8"/>
    <mergeCell ref="A1:AJ1"/>
    <mergeCell ref="A6:A8"/>
    <mergeCell ref="B6:B8"/>
    <mergeCell ref="C6:O6"/>
    <mergeCell ref="P6:W6"/>
    <mergeCell ref="X6:AC6"/>
    <mergeCell ref="AD6:AD8"/>
    <mergeCell ref="AE6:AE8"/>
    <mergeCell ref="AF6:AF8"/>
    <mergeCell ref="AG6:AG8"/>
    <mergeCell ref="C7:C8"/>
    <mergeCell ref="D7:D8"/>
    <mergeCell ref="E7:E8"/>
    <mergeCell ref="F7:F8"/>
    <mergeCell ref="G7:G8"/>
    <mergeCell ref="H7:H8"/>
  </mergeCells>
  <conditionalFormatting sqref="AE10:AE39">
    <cfRule type="cellIs" dxfId="3" priority="2" operator="lessThan">
      <formula>75</formula>
    </cfRule>
    <cfRule type="cellIs" dxfId="2" priority="3" operator="greaterThanOrEqual">
      <formula>75</formula>
    </cfRule>
  </conditionalFormatting>
  <dataValidations count="1">
    <dataValidation type="custom" allowBlank="1" showInputMessage="1" showErrorMessage="1" errorTitle="Invalid Score" error="Enter a score from 0 up to the HPS shown in row 9." promptTitle="Score Entry" prompt="Enter the learner's raw score." sqref="X10:Z39 P10:T39 C10:L39" xr:uid="{00000000-0002-0000-0300-000000000000}">
      <formula1>OR(C10="",AND(ISNUMBER(C10),C10&gt;=0,C10&lt;=C$9))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  <pageSetUpPr fitToPage="1"/>
  </sheetPr>
  <dimension ref="A1:I36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2" sqref="E12"/>
    </sheetView>
  </sheetViews>
  <sheetFormatPr defaultColWidth="8.7109375" defaultRowHeight="15" customHeight="1" x14ac:dyDescent="0.25"/>
  <cols>
    <col min="1" max="1" width="8.5703125" bestFit="1" customWidth="1"/>
    <col min="2" max="2" width="30" customWidth="1"/>
    <col min="3" max="3" width="8" customWidth="1"/>
    <col min="4" max="4" width="17.140625" bestFit="1" customWidth="1"/>
    <col min="5" max="6" width="12" customWidth="1"/>
    <col min="7" max="7" width="14" customWidth="1"/>
    <col min="8" max="8" width="30" customWidth="1"/>
    <col min="9" max="9" width="16" customWidth="1"/>
  </cols>
  <sheetData>
    <row r="1" spans="1:9" ht="27.75" customHeight="1" x14ac:dyDescent="0.25">
      <c r="A1" s="35" t="s">
        <v>45</v>
      </c>
      <c r="B1" s="35"/>
      <c r="C1" s="35"/>
      <c r="D1" s="35"/>
      <c r="E1" s="35"/>
      <c r="F1" s="35"/>
      <c r="G1" s="35"/>
      <c r="H1" s="35"/>
      <c r="I1" s="35"/>
    </row>
    <row r="3" spans="1:9" x14ac:dyDescent="0.25">
      <c r="A3" s="1" t="s">
        <v>27</v>
      </c>
      <c r="B3" s="5">
        <f>INPUT!H3</f>
        <v>0</v>
      </c>
      <c r="D3" s="1" t="s">
        <v>6</v>
      </c>
      <c r="E3" s="5" t="str">
        <f>INPUT!H4</f>
        <v>Grade 7 – Section A</v>
      </c>
      <c r="G3" s="1" t="s">
        <v>8</v>
      </c>
      <c r="H3" s="5">
        <f>INPUT!B5</f>
        <v>0</v>
      </c>
    </row>
    <row r="4" spans="1:9" x14ac:dyDescent="0.25">
      <c r="A4" s="1" t="s">
        <v>9</v>
      </c>
      <c r="B4" s="5">
        <f>INPUT!E5</f>
        <v>0</v>
      </c>
      <c r="D4" s="1" t="s">
        <v>5</v>
      </c>
      <c r="E4" s="5">
        <f>INPUT!E4</f>
        <v>0</v>
      </c>
    </row>
    <row r="5" spans="1:9" ht="15" customHeight="1" thickBot="1" x14ac:dyDescent="0.3"/>
    <row r="6" spans="1:9" ht="30" thickBot="1" x14ac:dyDescent="0.3">
      <c r="A6" s="23" t="s">
        <v>14</v>
      </c>
      <c r="B6" s="24" t="s">
        <v>15</v>
      </c>
      <c r="C6" s="24" t="s">
        <v>16</v>
      </c>
      <c r="D6" s="24" t="s">
        <v>46</v>
      </c>
      <c r="E6" s="24" t="s">
        <v>47</v>
      </c>
      <c r="F6" s="24" t="s">
        <v>48</v>
      </c>
      <c r="G6" s="24" t="s">
        <v>49</v>
      </c>
      <c r="H6" s="24" t="s">
        <v>50</v>
      </c>
      <c r="I6" s="25" t="s">
        <v>51</v>
      </c>
    </row>
    <row r="7" spans="1:9" x14ac:dyDescent="0.25">
      <c r="A7" s="26">
        <v>1</v>
      </c>
      <c r="B7" s="21">
        <f>INPUT!B9</f>
        <v>0</v>
      </c>
      <c r="C7" s="20" t="str">
        <f>INPUT!C9</f>
        <v>M</v>
      </c>
      <c r="D7" s="22" t="str">
        <f>IF(TERM1!AE10="","",TERM1!AE10)</f>
        <v/>
      </c>
      <c r="E7" s="22" t="str">
        <f>IF(TERM2!AE10="","",TERM2!AE10)</f>
        <v/>
      </c>
      <c r="F7" s="22" t="str">
        <f>IF(TERM3!AE10="","",TERM3!AE10)</f>
        <v/>
      </c>
      <c r="G7" s="22" t="str">
        <f t="shared" ref="G7:G36" si="0">IF(COUNT(D7:F7)&lt;3,"",ROUND(AVERAGE(D7:F7),0))</f>
        <v/>
      </c>
      <c r="H7" s="20" t="str">
        <f>IF(G7="","",LOOKUP(G7,SETTINGS!$G$4:$G$8,SETTINGS!$F$4:$F$8))</f>
        <v/>
      </c>
      <c r="I7" s="27" t="str">
        <f t="shared" ref="I7:I36" si="1">IF(G7="","",IF(G7&gt;=75,"PASSED","INTERVENTION"))</f>
        <v/>
      </c>
    </row>
    <row r="8" spans="1:9" x14ac:dyDescent="0.25">
      <c r="A8" s="28">
        <v>2</v>
      </c>
      <c r="B8" s="15">
        <f>INPUT!B10</f>
        <v>0</v>
      </c>
      <c r="C8" s="14" t="str">
        <f>INPUT!C10</f>
        <v>M</v>
      </c>
      <c r="D8" s="19" t="str">
        <f>IF(TERM1!AE11="","",TERM1!AE11)</f>
        <v/>
      </c>
      <c r="E8" s="19" t="str">
        <f>IF(TERM2!AE11="","",TERM2!AE11)</f>
        <v/>
      </c>
      <c r="F8" s="19" t="str">
        <f>IF(TERM3!AE11="","",TERM3!AE11)</f>
        <v/>
      </c>
      <c r="G8" s="19" t="str">
        <f t="shared" si="0"/>
        <v/>
      </c>
      <c r="H8" s="14" t="str">
        <f>IF(G8="","",LOOKUP(G8,SETTINGS!$G$4:$G$8,SETTINGS!$F$4:$F$8))</f>
        <v/>
      </c>
      <c r="I8" s="29" t="str">
        <f t="shared" si="1"/>
        <v/>
      </c>
    </row>
    <row r="9" spans="1:9" x14ac:dyDescent="0.25">
      <c r="A9" s="28">
        <v>3</v>
      </c>
      <c r="B9" s="15">
        <f>INPUT!B11</f>
        <v>0</v>
      </c>
      <c r="C9" s="14" t="str">
        <f>INPUT!C11</f>
        <v>M</v>
      </c>
      <c r="D9" s="19" t="str">
        <f>IF(TERM1!AE12="","",TERM1!AE12)</f>
        <v/>
      </c>
      <c r="E9" s="19" t="str">
        <f>IF(TERM2!AE12="","",TERM2!AE12)</f>
        <v/>
      </c>
      <c r="F9" s="19" t="str">
        <f>IF(TERM3!AE12="","",TERM3!AE12)</f>
        <v/>
      </c>
      <c r="G9" s="19" t="str">
        <f t="shared" si="0"/>
        <v/>
      </c>
      <c r="H9" s="14" t="str">
        <f>IF(G9="","",LOOKUP(G9,SETTINGS!$G$4:$G$8,SETTINGS!$F$4:$F$8))</f>
        <v/>
      </c>
      <c r="I9" s="29" t="str">
        <f t="shared" si="1"/>
        <v/>
      </c>
    </row>
    <row r="10" spans="1:9" x14ac:dyDescent="0.25">
      <c r="A10" s="28">
        <v>4</v>
      </c>
      <c r="B10" s="15">
        <f>INPUT!B12</f>
        <v>0</v>
      </c>
      <c r="C10" s="14" t="str">
        <f>INPUT!C12</f>
        <v>M</v>
      </c>
      <c r="D10" s="19" t="str">
        <f>IF(TERM1!AE13="","",TERM1!AE13)</f>
        <v/>
      </c>
      <c r="E10" s="19" t="str">
        <f>IF(TERM2!AE13="","",TERM2!AE13)</f>
        <v/>
      </c>
      <c r="F10" s="19" t="str">
        <f>IF(TERM3!AE13="","",TERM3!AE13)</f>
        <v/>
      </c>
      <c r="G10" s="19" t="str">
        <f t="shared" si="0"/>
        <v/>
      </c>
      <c r="H10" s="14" t="str">
        <f>IF(G10="","",LOOKUP(G10,SETTINGS!$G$4:$G$8,SETTINGS!$F$4:$F$8))</f>
        <v/>
      </c>
      <c r="I10" s="29" t="str">
        <f t="shared" si="1"/>
        <v/>
      </c>
    </row>
    <row r="11" spans="1:9" x14ac:dyDescent="0.25">
      <c r="A11" s="28">
        <v>5</v>
      </c>
      <c r="B11" s="15">
        <f>INPUT!B13</f>
        <v>0</v>
      </c>
      <c r="C11" s="14" t="str">
        <f>INPUT!C13</f>
        <v>M</v>
      </c>
      <c r="D11" s="19" t="str">
        <f>IF(TERM1!AE14="","",TERM1!AE14)</f>
        <v/>
      </c>
      <c r="E11" s="19" t="str">
        <f>IF(TERM2!AE14="","",TERM2!AE14)</f>
        <v/>
      </c>
      <c r="F11" s="19" t="str">
        <f>IF(TERM3!AE14="","",TERM3!AE14)</f>
        <v/>
      </c>
      <c r="G11" s="19" t="str">
        <f t="shared" si="0"/>
        <v/>
      </c>
      <c r="H11" s="14" t="str">
        <f>IF(G11="","",LOOKUP(G11,SETTINGS!$G$4:$G$8,SETTINGS!$F$4:$F$8))</f>
        <v/>
      </c>
      <c r="I11" s="29" t="str">
        <f t="shared" si="1"/>
        <v/>
      </c>
    </row>
    <row r="12" spans="1:9" x14ac:dyDescent="0.25">
      <c r="A12" s="28">
        <v>6</v>
      </c>
      <c r="B12" s="15">
        <f>INPUT!B14</f>
        <v>0</v>
      </c>
      <c r="C12" s="14" t="str">
        <f>INPUT!C14</f>
        <v>M</v>
      </c>
      <c r="D12" s="19" t="str">
        <f>IF(TERM1!AE15="","",TERM1!AE15)</f>
        <v/>
      </c>
      <c r="E12" s="19" t="str">
        <f>IF(TERM2!AE15="","",TERM2!AE15)</f>
        <v/>
      </c>
      <c r="F12" s="19" t="str">
        <f>IF(TERM3!AE15="","",TERM3!AE15)</f>
        <v/>
      </c>
      <c r="G12" s="19" t="str">
        <f t="shared" si="0"/>
        <v/>
      </c>
      <c r="H12" s="14" t="str">
        <f>IF(G12="","",LOOKUP(G12,SETTINGS!$G$4:$G$8,SETTINGS!$F$4:$F$8))</f>
        <v/>
      </c>
      <c r="I12" s="29" t="str">
        <f t="shared" si="1"/>
        <v/>
      </c>
    </row>
    <row r="13" spans="1:9" x14ac:dyDescent="0.25">
      <c r="A13" s="28">
        <v>7</v>
      </c>
      <c r="B13" s="15">
        <f>INPUT!B15</f>
        <v>0</v>
      </c>
      <c r="C13" s="14" t="str">
        <f>INPUT!C15</f>
        <v>M</v>
      </c>
      <c r="D13" s="19" t="str">
        <f>IF(TERM1!AE16="","",TERM1!AE16)</f>
        <v/>
      </c>
      <c r="E13" s="19" t="str">
        <f>IF(TERM2!AE16="","",TERM2!AE16)</f>
        <v/>
      </c>
      <c r="F13" s="19" t="str">
        <f>IF(TERM3!AE16="","",TERM3!AE16)</f>
        <v/>
      </c>
      <c r="G13" s="19" t="str">
        <f t="shared" si="0"/>
        <v/>
      </c>
      <c r="H13" s="14" t="str">
        <f>IF(G13="","",LOOKUP(G13,SETTINGS!$G$4:$G$8,SETTINGS!$F$4:$F$8))</f>
        <v/>
      </c>
      <c r="I13" s="29" t="str">
        <f t="shared" si="1"/>
        <v/>
      </c>
    </row>
    <row r="14" spans="1:9" x14ac:dyDescent="0.25">
      <c r="A14" s="28">
        <v>8</v>
      </c>
      <c r="B14" s="15">
        <f>INPUT!B16</f>
        <v>0</v>
      </c>
      <c r="C14" s="14" t="str">
        <f>INPUT!C16</f>
        <v>M</v>
      </c>
      <c r="D14" s="19" t="str">
        <f>IF(TERM1!AE17="","",TERM1!AE17)</f>
        <v/>
      </c>
      <c r="E14" s="19" t="str">
        <f>IF(TERM2!AE17="","",TERM2!AE17)</f>
        <v/>
      </c>
      <c r="F14" s="19" t="str">
        <f>IF(TERM3!AE17="","",TERM3!AE17)</f>
        <v/>
      </c>
      <c r="G14" s="19" t="str">
        <f t="shared" si="0"/>
        <v/>
      </c>
      <c r="H14" s="14" t="str">
        <f>IF(G14="","",LOOKUP(G14,SETTINGS!$G$4:$G$8,SETTINGS!$F$4:$F$8))</f>
        <v/>
      </c>
      <c r="I14" s="29" t="str">
        <f t="shared" si="1"/>
        <v/>
      </c>
    </row>
    <row r="15" spans="1:9" x14ac:dyDescent="0.25">
      <c r="A15" s="28">
        <v>9</v>
      </c>
      <c r="B15" s="15">
        <f>INPUT!B17</f>
        <v>0</v>
      </c>
      <c r="C15" s="14" t="str">
        <f>INPUT!C17</f>
        <v>M</v>
      </c>
      <c r="D15" s="19" t="str">
        <f>IF(TERM1!AE18="","",TERM1!AE18)</f>
        <v/>
      </c>
      <c r="E15" s="19" t="str">
        <f>IF(TERM2!AE18="","",TERM2!AE18)</f>
        <v/>
      </c>
      <c r="F15" s="19" t="str">
        <f>IF(TERM3!AE18="","",TERM3!AE18)</f>
        <v/>
      </c>
      <c r="G15" s="19" t="str">
        <f t="shared" si="0"/>
        <v/>
      </c>
      <c r="H15" s="14" t="str">
        <f>IF(G15="","",LOOKUP(G15,SETTINGS!$G$4:$G$8,SETTINGS!$F$4:$F$8))</f>
        <v/>
      </c>
      <c r="I15" s="29" t="str">
        <f t="shared" si="1"/>
        <v/>
      </c>
    </row>
    <row r="16" spans="1:9" x14ac:dyDescent="0.25">
      <c r="A16" s="28">
        <v>10</v>
      </c>
      <c r="B16" s="15">
        <f>INPUT!B18</f>
        <v>0</v>
      </c>
      <c r="C16" s="14" t="str">
        <f>INPUT!C18</f>
        <v>M</v>
      </c>
      <c r="D16" s="19" t="str">
        <f>IF(TERM1!AE19="","",TERM1!AE19)</f>
        <v/>
      </c>
      <c r="E16" s="19" t="str">
        <f>IF(TERM2!AE19="","",TERM2!AE19)</f>
        <v/>
      </c>
      <c r="F16" s="19" t="str">
        <f>IF(TERM3!AE19="","",TERM3!AE19)</f>
        <v/>
      </c>
      <c r="G16" s="19" t="str">
        <f t="shared" si="0"/>
        <v/>
      </c>
      <c r="H16" s="14" t="str">
        <f>IF(G16="","",LOOKUP(G16,SETTINGS!$G$4:$G$8,SETTINGS!$F$4:$F$8))</f>
        <v/>
      </c>
      <c r="I16" s="29" t="str">
        <f t="shared" si="1"/>
        <v/>
      </c>
    </row>
    <row r="17" spans="1:9" x14ac:dyDescent="0.25">
      <c r="A17" s="28">
        <v>11</v>
      </c>
      <c r="B17" s="15">
        <f>INPUT!B19</f>
        <v>0</v>
      </c>
      <c r="C17" s="14" t="str">
        <f>INPUT!C19</f>
        <v>M</v>
      </c>
      <c r="D17" s="19" t="str">
        <f>IF(TERM1!AE20="","",TERM1!AE20)</f>
        <v/>
      </c>
      <c r="E17" s="19" t="str">
        <f>IF(TERM2!AE20="","",TERM2!AE20)</f>
        <v/>
      </c>
      <c r="F17" s="19" t="str">
        <f>IF(TERM3!AE20="","",TERM3!AE20)</f>
        <v/>
      </c>
      <c r="G17" s="19" t="str">
        <f t="shared" si="0"/>
        <v/>
      </c>
      <c r="H17" s="14" t="str">
        <f>IF(G17="","",LOOKUP(G17,SETTINGS!$G$4:$G$8,SETTINGS!$F$4:$F$8))</f>
        <v/>
      </c>
      <c r="I17" s="29" t="str">
        <f t="shared" si="1"/>
        <v/>
      </c>
    </row>
    <row r="18" spans="1:9" x14ac:dyDescent="0.25">
      <c r="A18" s="28">
        <v>12</v>
      </c>
      <c r="B18" s="15">
        <f>INPUT!B20</f>
        <v>0</v>
      </c>
      <c r="C18" s="14" t="str">
        <f>INPUT!C20</f>
        <v>M</v>
      </c>
      <c r="D18" s="19" t="str">
        <f>IF(TERM1!AE21="","",TERM1!AE21)</f>
        <v/>
      </c>
      <c r="E18" s="19" t="str">
        <f>IF(TERM2!AE21="","",TERM2!AE21)</f>
        <v/>
      </c>
      <c r="F18" s="19" t="str">
        <f>IF(TERM3!AE21="","",TERM3!AE21)</f>
        <v/>
      </c>
      <c r="G18" s="19" t="str">
        <f t="shared" si="0"/>
        <v/>
      </c>
      <c r="H18" s="14" t="str">
        <f>IF(G18="","",LOOKUP(G18,SETTINGS!$G$4:$G$8,SETTINGS!$F$4:$F$8))</f>
        <v/>
      </c>
      <c r="I18" s="29" t="str">
        <f t="shared" si="1"/>
        <v/>
      </c>
    </row>
    <row r="19" spans="1:9" x14ac:dyDescent="0.25">
      <c r="A19" s="28">
        <v>13</v>
      </c>
      <c r="B19" s="15">
        <f>INPUT!B21</f>
        <v>0</v>
      </c>
      <c r="C19" s="14" t="str">
        <f>INPUT!C21</f>
        <v>M</v>
      </c>
      <c r="D19" s="19" t="str">
        <f>IF(TERM1!AE22="","",TERM1!AE22)</f>
        <v/>
      </c>
      <c r="E19" s="19" t="str">
        <f>IF(TERM2!AE22="","",TERM2!AE22)</f>
        <v/>
      </c>
      <c r="F19" s="19" t="str">
        <f>IF(TERM3!AE22="","",TERM3!AE22)</f>
        <v/>
      </c>
      <c r="G19" s="19" t="str">
        <f t="shared" si="0"/>
        <v/>
      </c>
      <c r="H19" s="14" t="str">
        <f>IF(G19="","",LOOKUP(G19,SETTINGS!$G$4:$G$8,SETTINGS!$F$4:$F$8))</f>
        <v/>
      </c>
      <c r="I19" s="29" t="str">
        <f t="shared" si="1"/>
        <v/>
      </c>
    </row>
    <row r="20" spans="1:9" x14ac:dyDescent="0.25">
      <c r="A20" s="28">
        <v>14</v>
      </c>
      <c r="B20" s="15">
        <f>INPUT!B22</f>
        <v>0</v>
      </c>
      <c r="C20" s="14" t="str">
        <f>INPUT!C22</f>
        <v>M</v>
      </c>
      <c r="D20" s="19" t="str">
        <f>IF(TERM1!AE23="","",TERM1!AE23)</f>
        <v/>
      </c>
      <c r="E20" s="19" t="str">
        <f>IF(TERM2!AE23="","",TERM2!AE23)</f>
        <v/>
      </c>
      <c r="F20" s="19" t="str">
        <f>IF(TERM3!AE23="","",TERM3!AE23)</f>
        <v/>
      </c>
      <c r="G20" s="19" t="str">
        <f t="shared" si="0"/>
        <v/>
      </c>
      <c r="H20" s="14" t="str">
        <f>IF(G20="","",LOOKUP(G20,SETTINGS!$G$4:$G$8,SETTINGS!$F$4:$F$8))</f>
        <v/>
      </c>
      <c r="I20" s="29" t="str">
        <f t="shared" si="1"/>
        <v/>
      </c>
    </row>
    <row r="21" spans="1:9" x14ac:dyDescent="0.25">
      <c r="A21" s="28">
        <v>15</v>
      </c>
      <c r="B21" s="15">
        <f>INPUT!B23</f>
        <v>0</v>
      </c>
      <c r="C21" s="14" t="str">
        <f>INPUT!C23</f>
        <v>M</v>
      </c>
      <c r="D21" s="19" t="str">
        <f>IF(TERM1!AE24="","",TERM1!AE24)</f>
        <v/>
      </c>
      <c r="E21" s="19" t="str">
        <f>IF(TERM2!AE24="","",TERM2!AE24)</f>
        <v/>
      </c>
      <c r="F21" s="19" t="str">
        <f>IF(TERM3!AE24="","",TERM3!AE24)</f>
        <v/>
      </c>
      <c r="G21" s="19" t="str">
        <f t="shared" si="0"/>
        <v/>
      </c>
      <c r="H21" s="14" t="str">
        <f>IF(G21="","",LOOKUP(G21,SETTINGS!$G$4:$G$8,SETTINGS!$F$4:$F$8))</f>
        <v/>
      </c>
      <c r="I21" s="29" t="str">
        <f t="shared" si="1"/>
        <v/>
      </c>
    </row>
    <row r="22" spans="1:9" x14ac:dyDescent="0.25">
      <c r="A22" s="28">
        <v>16</v>
      </c>
      <c r="B22" s="15">
        <f>INPUT!B24</f>
        <v>0</v>
      </c>
      <c r="C22" s="14" t="str">
        <f>INPUT!C24</f>
        <v>M</v>
      </c>
      <c r="D22" s="19" t="str">
        <f>IF(TERM1!AE25="","",TERM1!AE25)</f>
        <v/>
      </c>
      <c r="E22" s="19" t="str">
        <f>IF(TERM2!AE25="","",TERM2!AE25)</f>
        <v/>
      </c>
      <c r="F22" s="19" t="str">
        <f>IF(TERM3!AE25="","",TERM3!AE25)</f>
        <v/>
      </c>
      <c r="G22" s="19" t="str">
        <f t="shared" si="0"/>
        <v/>
      </c>
      <c r="H22" s="14" t="str">
        <f>IF(G22="","",LOOKUP(G22,SETTINGS!$G$4:$G$8,SETTINGS!$F$4:$F$8))</f>
        <v/>
      </c>
      <c r="I22" s="29" t="str">
        <f t="shared" si="1"/>
        <v/>
      </c>
    </row>
    <row r="23" spans="1:9" x14ac:dyDescent="0.25">
      <c r="A23" s="28">
        <v>17</v>
      </c>
      <c r="B23" s="15">
        <f>INPUT!B25</f>
        <v>0</v>
      </c>
      <c r="C23" s="14" t="str">
        <f>INPUT!C25</f>
        <v>M</v>
      </c>
      <c r="D23" s="19" t="str">
        <f>IF(TERM1!AE26="","",TERM1!AE26)</f>
        <v/>
      </c>
      <c r="E23" s="19" t="str">
        <f>IF(TERM2!AE26="","",TERM2!AE26)</f>
        <v/>
      </c>
      <c r="F23" s="19" t="str">
        <f>IF(TERM3!AE26="","",TERM3!AE26)</f>
        <v/>
      </c>
      <c r="G23" s="19" t="str">
        <f t="shared" si="0"/>
        <v/>
      </c>
      <c r="H23" s="14" t="str">
        <f>IF(G23="","",LOOKUP(G23,SETTINGS!$G$4:$G$8,SETTINGS!$F$4:$F$8))</f>
        <v/>
      </c>
      <c r="I23" s="29" t="str">
        <f t="shared" si="1"/>
        <v/>
      </c>
    </row>
    <row r="24" spans="1:9" x14ac:dyDescent="0.25">
      <c r="A24" s="28">
        <v>18</v>
      </c>
      <c r="B24" s="15">
        <f>INPUT!B26</f>
        <v>0</v>
      </c>
      <c r="C24" s="14" t="str">
        <f>INPUT!C26</f>
        <v>M</v>
      </c>
      <c r="D24" s="19" t="str">
        <f>IF(TERM1!AE27="","",TERM1!AE27)</f>
        <v/>
      </c>
      <c r="E24" s="19" t="str">
        <f>IF(TERM2!AE27="","",TERM2!AE27)</f>
        <v/>
      </c>
      <c r="F24" s="19" t="str">
        <f>IF(TERM3!AE27="","",TERM3!AE27)</f>
        <v/>
      </c>
      <c r="G24" s="19" t="str">
        <f t="shared" si="0"/>
        <v/>
      </c>
      <c r="H24" s="14" t="str">
        <f>IF(G24="","",LOOKUP(G24,SETTINGS!$G$4:$G$8,SETTINGS!$F$4:$F$8))</f>
        <v/>
      </c>
      <c r="I24" s="29" t="str">
        <f t="shared" si="1"/>
        <v/>
      </c>
    </row>
    <row r="25" spans="1:9" x14ac:dyDescent="0.25">
      <c r="A25" s="28">
        <v>19</v>
      </c>
      <c r="B25" s="15">
        <f>INPUT!B27</f>
        <v>0</v>
      </c>
      <c r="C25" s="14" t="str">
        <f>INPUT!C27</f>
        <v>M</v>
      </c>
      <c r="D25" s="19" t="str">
        <f>IF(TERM1!AE28="","",TERM1!AE28)</f>
        <v/>
      </c>
      <c r="E25" s="19" t="str">
        <f>IF(TERM2!AE28="","",TERM2!AE28)</f>
        <v/>
      </c>
      <c r="F25" s="19" t="str">
        <f>IF(TERM3!AE28="","",TERM3!AE28)</f>
        <v/>
      </c>
      <c r="G25" s="19" t="str">
        <f t="shared" si="0"/>
        <v/>
      </c>
      <c r="H25" s="14" t="str">
        <f>IF(G25="","",LOOKUP(G25,SETTINGS!$G$4:$G$8,SETTINGS!$F$4:$F$8))</f>
        <v/>
      </c>
      <c r="I25" s="29" t="str">
        <f t="shared" si="1"/>
        <v/>
      </c>
    </row>
    <row r="26" spans="1:9" x14ac:dyDescent="0.25">
      <c r="A26" s="28">
        <v>20</v>
      </c>
      <c r="B26" s="15">
        <f>INPUT!B28</f>
        <v>0</v>
      </c>
      <c r="C26" s="14" t="str">
        <f>INPUT!C28</f>
        <v>M</v>
      </c>
      <c r="D26" s="19" t="str">
        <f>IF(TERM1!AE29="","",TERM1!AE29)</f>
        <v/>
      </c>
      <c r="E26" s="19" t="str">
        <f>IF(TERM2!AE29="","",TERM2!AE29)</f>
        <v/>
      </c>
      <c r="F26" s="19" t="str">
        <f>IF(TERM3!AE29="","",TERM3!AE29)</f>
        <v/>
      </c>
      <c r="G26" s="19" t="str">
        <f t="shared" si="0"/>
        <v/>
      </c>
      <c r="H26" s="14" t="str">
        <f>IF(G26="","",LOOKUP(G26,SETTINGS!$G$4:$G$8,SETTINGS!$F$4:$F$8))</f>
        <v/>
      </c>
      <c r="I26" s="29" t="str">
        <f t="shared" si="1"/>
        <v/>
      </c>
    </row>
    <row r="27" spans="1:9" x14ac:dyDescent="0.25">
      <c r="A27" s="28">
        <v>21</v>
      </c>
      <c r="B27" s="15">
        <f>INPUT!B29</f>
        <v>0</v>
      </c>
      <c r="C27" s="14" t="str">
        <f>INPUT!C29</f>
        <v>F</v>
      </c>
      <c r="D27" s="19" t="str">
        <f>IF(TERM1!AE30="","",TERM1!AE30)</f>
        <v/>
      </c>
      <c r="E27" s="19" t="str">
        <f>IF(TERM2!AE30="","",TERM2!AE30)</f>
        <v/>
      </c>
      <c r="F27" s="19" t="str">
        <f>IF(TERM3!AE30="","",TERM3!AE30)</f>
        <v/>
      </c>
      <c r="G27" s="19" t="str">
        <f t="shared" si="0"/>
        <v/>
      </c>
      <c r="H27" s="14" t="str">
        <f>IF(G27="","",LOOKUP(G27,SETTINGS!$G$4:$G$8,SETTINGS!$F$4:$F$8))</f>
        <v/>
      </c>
      <c r="I27" s="29" t="str">
        <f t="shared" si="1"/>
        <v/>
      </c>
    </row>
    <row r="28" spans="1:9" x14ac:dyDescent="0.25">
      <c r="A28" s="28">
        <v>22</v>
      </c>
      <c r="B28" s="15">
        <f>INPUT!B30</f>
        <v>0</v>
      </c>
      <c r="C28" s="14" t="str">
        <f>INPUT!C30</f>
        <v>F</v>
      </c>
      <c r="D28" s="19" t="str">
        <f>IF(TERM1!AE31="","",TERM1!AE31)</f>
        <v/>
      </c>
      <c r="E28" s="19" t="str">
        <f>IF(TERM2!AE31="","",TERM2!AE31)</f>
        <v/>
      </c>
      <c r="F28" s="19" t="str">
        <f>IF(TERM3!AE31="","",TERM3!AE31)</f>
        <v/>
      </c>
      <c r="G28" s="19" t="str">
        <f t="shared" si="0"/>
        <v/>
      </c>
      <c r="H28" s="14" t="str">
        <f>IF(G28="","",LOOKUP(G28,SETTINGS!$G$4:$G$8,SETTINGS!$F$4:$F$8))</f>
        <v/>
      </c>
      <c r="I28" s="29" t="str">
        <f t="shared" si="1"/>
        <v/>
      </c>
    </row>
    <row r="29" spans="1:9" x14ac:dyDescent="0.25">
      <c r="A29" s="28">
        <v>23</v>
      </c>
      <c r="B29" s="15">
        <f>INPUT!B31</f>
        <v>0</v>
      </c>
      <c r="C29" s="14" t="str">
        <f>INPUT!C31</f>
        <v>F</v>
      </c>
      <c r="D29" s="19" t="str">
        <f>IF(TERM1!AE32="","",TERM1!AE32)</f>
        <v/>
      </c>
      <c r="E29" s="19" t="str">
        <f>IF(TERM2!AE32="","",TERM2!AE32)</f>
        <v/>
      </c>
      <c r="F29" s="19" t="str">
        <f>IF(TERM3!AE32="","",TERM3!AE32)</f>
        <v/>
      </c>
      <c r="G29" s="19" t="str">
        <f t="shared" si="0"/>
        <v/>
      </c>
      <c r="H29" s="14" t="str">
        <f>IF(G29="","",LOOKUP(G29,SETTINGS!$G$4:$G$8,SETTINGS!$F$4:$F$8))</f>
        <v/>
      </c>
      <c r="I29" s="29" t="str">
        <f t="shared" si="1"/>
        <v/>
      </c>
    </row>
    <row r="30" spans="1:9" x14ac:dyDescent="0.25">
      <c r="A30" s="28">
        <v>24</v>
      </c>
      <c r="B30" s="15">
        <f>INPUT!B32</f>
        <v>0</v>
      </c>
      <c r="C30" s="14" t="str">
        <f>INPUT!C32</f>
        <v>F</v>
      </c>
      <c r="D30" s="19" t="str">
        <f>IF(TERM1!AE33="","",TERM1!AE33)</f>
        <v/>
      </c>
      <c r="E30" s="19" t="str">
        <f>IF(TERM2!AE33="","",TERM2!AE33)</f>
        <v/>
      </c>
      <c r="F30" s="19" t="str">
        <f>IF(TERM3!AE33="","",TERM3!AE33)</f>
        <v/>
      </c>
      <c r="G30" s="19" t="str">
        <f t="shared" si="0"/>
        <v/>
      </c>
      <c r="H30" s="14" t="str">
        <f>IF(G30="","",LOOKUP(G30,SETTINGS!$G$4:$G$8,SETTINGS!$F$4:$F$8))</f>
        <v/>
      </c>
      <c r="I30" s="29" t="str">
        <f t="shared" si="1"/>
        <v/>
      </c>
    </row>
    <row r="31" spans="1:9" x14ac:dyDescent="0.25">
      <c r="A31" s="28">
        <v>25</v>
      </c>
      <c r="B31" s="15">
        <f>INPUT!B33</f>
        <v>0</v>
      </c>
      <c r="C31" s="14" t="str">
        <f>INPUT!C33</f>
        <v>F</v>
      </c>
      <c r="D31" s="19" t="str">
        <f>IF(TERM1!AE34="","",TERM1!AE34)</f>
        <v/>
      </c>
      <c r="E31" s="19" t="str">
        <f>IF(TERM2!AE34="","",TERM2!AE34)</f>
        <v/>
      </c>
      <c r="F31" s="19" t="str">
        <f>IF(TERM3!AE34="","",TERM3!AE34)</f>
        <v/>
      </c>
      <c r="G31" s="19" t="str">
        <f t="shared" si="0"/>
        <v/>
      </c>
      <c r="H31" s="14" t="str">
        <f>IF(G31="","",LOOKUP(G31,SETTINGS!$G$4:$G$8,SETTINGS!$F$4:$F$8))</f>
        <v/>
      </c>
      <c r="I31" s="29" t="str">
        <f t="shared" si="1"/>
        <v/>
      </c>
    </row>
    <row r="32" spans="1:9" x14ac:dyDescent="0.25">
      <c r="A32" s="28">
        <v>26</v>
      </c>
      <c r="B32" s="15">
        <f>INPUT!B34</f>
        <v>0</v>
      </c>
      <c r="C32" s="14" t="str">
        <f>INPUT!C34</f>
        <v>F</v>
      </c>
      <c r="D32" s="19" t="str">
        <f>IF(TERM1!AE35="","",TERM1!AE35)</f>
        <v/>
      </c>
      <c r="E32" s="19" t="str">
        <f>IF(TERM2!AE35="","",TERM2!AE35)</f>
        <v/>
      </c>
      <c r="F32" s="19" t="str">
        <f>IF(TERM3!AE35="","",TERM3!AE35)</f>
        <v/>
      </c>
      <c r="G32" s="19" t="str">
        <f t="shared" si="0"/>
        <v/>
      </c>
      <c r="H32" s="14" t="str">
        <f>IF(G32="","",LOOKUP(G32,SETTINGS!$G$4:$G$8,SETTINGS!$F$4:$F$8))</f>
        <v/>
      </c>
      <c r="I32" s="29" t="str">
        <f t="shared" si="1"/>
        <v/>
      </c>
    </row>
    <row r="33" spans="1:9" x14ac:dyDescent="0.25">
      <c r="A33" s="28">
        <v>27</v>
      </c>
      <c r="B33" s="15">
        <f>INPUT!B35</f>
        <v>0</v>
      </c>
      <c r="C33" s="14" t="str">
        <f>INPUT!C35</f>
        <v>F</v>
      </c>
      <c r="D33" s="19" t="str">
        <f>IF(TERM1!AE36="","",TERM1!AE36)</f>
        <v/>
      </c>
      <c r="E33" s="19" t="str">
        <f>IF(TERM2!AE36="","",TERM2!AE36)</f>
        <v/>
      </c>
      <c r="F33" s="19" t="str">
        <f>IF(TERM3!AE36="","",TERM3!AE36)</f>
        <v/>
      </c>
      <c r="G33" s="19" t="str">
        <f t="shared" si="0"/>
        <v/>
      </c>
      <c r="H33" s="14" t="str">
        <f>IF(G33="","",LOOKUP(G33,SETTINGS!$G$4:$G$8,SETTINGS!$F$4:$F$8))</f>
        <v/>
      </c>
      <c r="I33" s="29" t="str">
        <f t="shared" si="1"/>
        <v/>
      </c>
    </row>
    <row r="34" spans="1:9" x14ac:dyDescent="0.25">
      <c r="A34" s="28">
        <v>28</v>
      </c>
      <c r="B34" s="15">
        <f>INPUT!B36</f>
        <v>0</v>
      </c>
      <c r="C34" s="14" t="str">
        <f>INPUT!C36</f>
        <v>F</v>
      </c>
      <c r="D34" s="19" t="str">
        <f>IF(TERM1!AE37="","",TERM1!AE37)</f>
        <v/>
      </c>
      <c r="E34" s="19" t="str">
        <f>IF(TERM2!AE37="","",TERM2!AE37)</f>
        <v/>
      </c>
      <c r="F34" s="19" t="str">
        <f>IF(TERM3!AE37="","",TERM3!AE37)</f>
        <v/>
      </c>
      <c r="G34" s="19" t="str">
        <f t="shared" si="0"/>
        <v/>
      </c>
      <c r="H34" s="14" t="str">
        <f>IF(G34="","",LOOKUP(G34,SETTINGS!$G$4:$G$8,SETTINGS!$F$4:$F$8))</f>
        <v/>
      </c>
      <c r="I34" s="29" t="str">
        <f t="shared" si="1"/>
        <v/>
      </c>
    </row>
    <row r="35" spans="1:9" x14ac:dyDescent="0.25">
      <c r="A35" s="28">
        <v>29</v>
      </c>
      <c r="B35" s="15">
        <f>INPUT!B37</f>
        <v>0</v>
      </c>
      <c r="C35" s="14" t="str">
        <f>INPUT!C37</f>
        <v>F</v>
      </c>
      <c r="D35" s="19" t="str">
        <f>IF(TERM1!AE38="","",TERM1!AE38)</f>
        <v/>
      </c>
      <c r="E35" s="19" t="str">
        <f>IF(TERM2!AE38="","",TERM2!AE38)</f>
        <v/>
      </c>
      <c r="F35" s="19" t="str">
        <f>IF(TERM3!AE38="","",TERM3!AE38)</f>
        <v/>
      </c>
      <c r="G35" s="19" t="str">
        <f t="shared" si="0"/>
        <v/>
      </c>
      <c r="H35" s="14" t="str">
        <f>IF(G35="","",LOOKUP(G35,SETTINGS!$G$4:$G$8,SETTINGS!$F$4:$F$8))</f>
        <v/>
      </c>
      <c r="I35" s="29" t="str">
        <f t="shared" si="1"/>
        <v/>
      </c>
    </row>
    <row r="36" spans="1:9" ht="15.75" thickBot="1" x14ac:dyDescent="0.3">
      <c r="A36" s="30">
        <v>30</v>
      </c>
      <c r="B36" s="31">
        <f>INPUT!B38</f>
        <v>0</v>
      </c>
      <c r="C36" s="32" t="str">
        <f>INPUT!C38</f>
        <v>F</v>
      </c>
      <c r="D36" s="33" t="str">
        <f>IF(TERM1!AE39="","",TERM1!AE39)</f>
        <v/>
      </c>
      <c r="E36" s="33" t="str">
        <f>IF(TERM2!AE39="","",TERM2!AE39)</f>
        <v/>
      </c>
      <c r="F36" s="33" t="str">
        <f>IF(TERM3!AE39="","",TERM3!AE39)</f>
        <v/>
      </c>
      <c r="G36" s="33" t="str">
        <f t="shared" si="0"/>
        <v/>
      </c>
      <c r="H36" s="32" t="str">
        <f>IF(G36="","",LOOKUP(G36,SETTINGS!$G$4:$G$8,SETTINGS!$F$4:$F$8))</f>
        <v/>
      </c>
      <c r="I36" s="34" t="str">
        <f t="shared" si="1"/>
        <v/>
      </c>
    </row>
  </sheetData>
  <mergeCells count="1">
    <mergeCell ref="A1:I1"/>
  </mergeCells>
  <conditionalFormatting sqref="G7:G36">
    <cfRule type="cellIs" dxfId="1" priority="2" operator="lessThan">
      <formula>75</formula>
    </cfRule>
    <cfRule type="cellIs" dxfId="0" priority="3" operator="greaterThanOrEqual">
      <formula>75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A1:I5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customHeight="1" x14ac:dyDescent="0.25"/>
  <cols>
    <col min="1" max="1" width="62" customWidth="1"/>
    <col min="2" max="4" width="23" customWidth="1"/>
    <col min="6" max="6" width="22" customWidth="1"/>
    <col min="7" max="8" width="18" customWidth="1"/>
    <col min="9" max="9" width="30" customWidth="1"/>
  </cols>
  <sheetData>
    <row r="1" spans="1:9" ht="27.75" customHeight="1" x14ac:dyDescent="0.25">
      <c r="A1" s="35" t="s">
        <v>52</v>
      </c>
      <c r="B1" s="35"/>
      <c r="C1" s="35"/>
      <c r="D1" s="35"/>
      <c r="E1" s="35"/>
      <c r="F1" s="35"/>
      <c r="G1" s="35"/>
      <c r="H1" s="35"/>
    </row>
    <row r="3" spans="1:9" ht="29.25" x14ac:dyDescent="0.25">
      <c r="A3" s="7" t="s">
        <v>10</v>
      </c>
      <c r="B3" s="7" t="s">
        <v>53</v>
      </c>
      <c r="C3" s="7" t="s">
        <v>54</v>
      </c>
      <c r="D3" s="7" t="s">
        <v>55</v>
      </c>
      <c r="F3" s="8" t="s">
        <v>33</v>
      </c>
      <c r="G3" s="8" t="s">
        <v>56</v>
      </c>
    </row>
    <row r="4" spans="1:9" ht="30" x14ac:dyDescent="0.25">
      <c r="A4" s="9" t="s">
        <v>11</v>
      </c>
      <c r="B4" s="10">
        <v>0.2</v>
      </c>
      <c r="C4" s="10">
        <v>0.5</v>
      </c>
      <c r="D4" s="10">
        <v>0.3</v>
      </c>
      <c r="F4" t="s">
        <v>57</v>
      </c>
      <c r="G4">
        <v>0</v>
      </c>
    </row>
    <row r="5" spans="1:9" x14ac:dyDescent="0.25">
      <c r="A5" s="9" t="s">
        <v>58</v>
      </c>
      <c r="B5" s="10">
        <v>0.2</v>
      </c>
      <c r="C5" s="10">
        <v>0.6</v>
      </c>
      <c r="D5" s="10">
        <v>0.2</v>
      </c>
      <c r="F5" t="s">
        <v>59</v>
      </c>
      <c r="G5">
        <v>65</v>
      </c>
    </row>
    <row r="6" spans="1:9" x14ac:dyDescent="0.25">
      <c r="A6" s="9" t="s">
        <v>60</v>
      </c>
      <c r="B6" s="10">
        <v>0.2</v>
      </c>
      <c r="C6" s="10">
        <v>0.5</v>
      </c>
      <c r="D6" s="10">
        <v>0.3</v>
      </c>
      <c r="F6" t="s">
        <v>61</v>
      </c>
      <c r="G6">
        <v>75</v>
      </c>
    </row>
    <row r="7" spans="1:9" x14ac:dyDescent="0.25">
      <c r="A7" s="9" t="s">
        <v>62</v>
      </c>
      <c r="B7" s="10">
        <v>0.15</v>
      </c>
      <c r="C7" s="10">
        <v>0.7</v>
      </c>
      <c r="D7" s="10">
        <v>0.15</v>
      </c>
      <c r="F7" t="s">
        <v>63</v>
      </c>
      <c r="G7">
        <v>80</v>
      </c>
    </row>
    <row r="8" spans="1:9" x14ac:dyDescent="0.25">
      <c r="A8" s="9" t="s">
        <v>64</v>
      </c>
      <c r="B8" s="10">
        <v>0.2</v>
      </c>
      <c r="C8" s="10">
        <v>0.6</v>
      </c>
      <c r="D8" s="10">
        <v>0.2</v>
      </c>
      <c r="F8" t="s">
        <v>65</v>
      </c>
      <c r="G8">
        <v>90</v>
      </c>
    </row>
    <row r="9" spans="1:9" x14ac:dyDescent="0.25">
      <c r="A9" s="9" t="s">
        <v>66</v>
      </c>
      <c r="B9" s="10">
        <v>0.4</v>
      </c>
      <c r="C9" s="10">
        <v>0.6</v>
      </c>
      <c r="D9" s="10">
        <v>0</v>
      </c>
    </row>
    <row r="10" spans="1:9" x14ac:dyDescent="0.25">
      <c r="A10" s="9" t="s">
        <v>67</v>
      </c>
      <c r="B10" s="10">
        <v>0.15</v>
      </c>
      <c r="C10" s="10">
        <v>0.65</v>
      </c>
      <c r="D10" s="10">
        <v>0.2</v>
      </c>
    </row>
    <row r="11" spans="1:9" x14ac:dyDescent="0.25">
      <c r="A11" s="9" t="s">
        <v>68</v>
      </c>
      <c r="B11" s="10">
        <v>0.2</v>
      </c>
      <c r="C11" s="10">
        <v>0.8</v>
      </c>
      <c r="D11" s="10">
        <v>0</v>
      </c>
    </row>
    <row r="15" spans="1:9" ht="28.5" x14ac:dyDescent="0.25">
      <c r="A15" t="s">
        <v>69</v>
      </c>
      <c r="F15" s="11" t="s">
        <v>70</v>
      </c>
      <c r="G15" s="11" t="s">
        <v>71</v>
      </c>
      <c r="H15" s="11" t="s">
        <v>72</v>
      </c>
      <c r="I15" s="11" t="s">
        <v>50</v>
      </c>
    </row>
    <row r="16" spans="1:9" ht="15" customHeight="1" x14ac:dyDescent="0.25">
      <c r="A16" s="46" t="s">
        <v>73</v>
      </c>
      <c r="B16" s="46"/>
      <c r="C16" s="46"/>
      <c r="D16" s="46"/>
      <c r="F16" s="6">
        <v>0</v>
      </c>
      <c r="G16" s="6" t="s">
        <v>74</v>
      </c>
      <c r="H16" s="6">
        <v>60</v>
      </c>
      <c r="I16" s="6" t="s">
        <v>57</v>
      </c>
    </row>
    <row r="17" spans="1:9" x14ac:dyDescent="0.25">
      <c r="A17" s="46"/>
      <c r="B17" s="46"/>
      <c r="C17" s="46"/>
      <c r="D17" s="46"/>
      <c r="F17" s="6">
        <v>40</v>
      </c>
      <c r="G17" s="6" t="s">
        <v>75</v>
      </c>
      <c r="H17" s="6">
        <v>61</v>
      </c>
      <c r="I17" s="6" t="s">
        <v>57</v>
      </c>
    </row>
    <row r="18" spans="1:9" x14ac:dyDescent="0.25">
      <c r="A18" s="46"/>
      <c r="B18" s="46"/>
      <c r="C18" s="46"/>
      <c r="D18" s="46"/>
      <c r="F18" s="6">
        <v>43</v>
      </c>
      <c r="G18" s="6" t="s">
        <v>76</v>
      </c>
      <c r="H18" s="6">
        <v>62</v>
      </c>
      <c r="I18" s="6" t="s">
        <v>57</v>
      </c>
    </row>
    <row r="19" spans="1:9" x14ac:dyDescent="0.25">
      <c r="F19" s="6">
        <v>46</v>
      </c>
      <c r="G19" s="6" t="s">
        <v>77</v>
      </c>
      <c r="H19" s="6">
        <v>63</v>
      </c>
      <c r="I19" s="6" t="s">
        <v>57</v>
      </c>
    </row>
    <row r="20" spans="1:9" x14ac:dyDescent="0.25">
      <c r="F20" s="6">
        <v>48</v>
      </c>
      <c r="G20" s="6" t="s">
        <v>78</v>
      </c>
      <c r="H20" s="6">
        <v>64</v>
      </c>
      <c r="I20" s="6" t="s">
        <v>57</v>
      </c>
    </row>
    <row r="21" spans="1:9" x14ac:dyDescent="0.25">
      <c r="F21" s="6">
        <v>50</v>
      </c>
      <c r="G21" s="6" t="s">
        <v>79</v>
      </c>
      <c r="H21" s="6">
        <v>65</v>
      </c>
      <c r="I21" s="6" t="s">
        <v>59</v>
      </c>
    </row>
    <row r="22" spans="1:9" x14ac:dyDescent="0.25">
      <c r="F22" s="6">
        <v>52</v>
      </c>
      <c r="G22" s="6" t="s">
        <v>80</v>
      </c>
      <c r="H22" s="6">
        <v>66</v>
      </c>
      <c r="I22" s="6" t="s">
        <v>59</v>
      </c>
    </row>
    <row r="23" spans="1:9" x14ac:dyDescent="0.25">
      <c r="F23" s="6">
        <v>54</v>
      </c>
      <c r="G23" s="6" t="s">
        <v>81</v>
      </c>
      <c r="H23" s="6">
        <v>67</v>
      </c>
      <c r="I23" s="6" t="s">
        <v>59</v>
      </c>
    </row>
    <row r="24" spans="1:9" x14ac:dyDescent="0.25">
      <c r="F24" s="6">
        <v>56</v>
      </c>
      <c r="G24" s="6" t="s">
        <v>82</v>
      </c>
      <c r="H24" s="6">
        <v>68</v>
      </c>
      <c r="I24" s="6" t="s">
        <v>59</v>
      </c>
    </row>
    <row r="25" spans="1:9" x14ac:dyDescent="0.25">
      <c r="F25" s="6">
        <v>58</v>
      </c>
      <c r="G25" s="6" t="s">
        <v>83</v>
      </c>
      <c r="H25" s="6">
        <v>69</v>
      </c>
      <c r="I25" s="6" t="s">
        <v>59</v>
      </c>
    </row>
    <row r="26" spans="1:9" x14ac:dyDescent="0.25">
      <c r="F26" s="6">
        <v>60</v>
      </c>
      <c r="G26" s="6" t="s">
        <v>84</v>
      </c>
      <c r="H26" s="6">
        <v>70</v>
      </c>
      <c r="I26" s="6" t="s">
        <v>59</v>
      </c>
    </row>
    <row r="27" spans="1:9" x14ac:dyDescent="0.25">
      <c r="F27" s="6">
        <v>62</v>
      </c>
      <c r="G27" s="6" t="s">
        <v>85</v>
      </c>
      <c r="H27" s="6">
        <v>71</v>
      </c>
      <c r="I27" s="6" t="s">
        <v>59</v>
      </c>
    </row>
    <row r="28" spans="1:9" x14ac:dyDescent="0.25">
      <c r="F28" s="6">
        <v>64</v>
      </c>
      <c r="G28" s="6" t="s">
        <v>86</v>
      </c>
      <c r="H28" s="6">
        <v>72</v>
      </c>
      <c r="I28" s="6" t="s">
        <v>59</v>
      </c>
    </row>
    <row r="29" spans="1:9" x14ac:dyDescent="0.25">
      <c r="F29" s="6">
        <v>66</v>
      </c>
      <c r="G29" s="6" t="s">
        <v>87</v>
      </c>
      <c r="H29" s="6">
        <v>73</v>
      </c>
      <c r="I29" s="6" t="s">
        <v>59</v>
      </c>
    </row>
    <row r="30" spans="1:9" x14ac:dyDescent="0.25">
      <c r="F30" s="6">
        <v>68</v>
      </c>
      <c r="G30" s="6" t="s">
        <v>88</v>
      </c>
      <c r="H30" s="6">
        <v>74</v>
      </c>
      <c r="I30" s="6" t="s">
        <v>59</v>
      </c>
    </row>
    <row r="31" spans="1:9" x14ac:dyDescent="0.25">
      <c r="F31" s="6">
        <v>70</v>
      </c>
      <c r="G31" s="6" t="s">
        <v>89</v>
      </c>
      <c r="H31" s="6">
        <v>75</v>
      </c>
      <c r="I31" s="6" t="s">
        <v>61</v>
      </c>
    </row>
    <row r="32" spans="1:9" x14ac:dyDescent="0.25">
      <c r="F32" s="6">
        <v>73</v>
      </c>
      <c r="G32" s="6" t="s">
        <v>90</v>
      </c>
      <c r="H32" s="6">
        <v>76</v>
      </c>
      <c r="I32" s="6" t="s">
        <v>61</v>
      </c>
    </row>
    <row r="33" spans="6:9" x14ac:dyDescent="0.25">
      <c r="F33" s="6">
        <v>75</v>
      </c>
      <c r="G33" s="6" t="s">
        <v>91</v>
      </c>
      <c r="H33" s="6">
        <v>77</v>
      </c>
      <c r="I33" s="6" t="s">
        <v>61</v>
      </c>
    </row>
    <row r="34" spans="6:9" x14ac:dyDescent="0.25">
      <c r="F34" s="6">
        <v>76</v>
      </c>
      <c r="G34" s="6" t="s">
        <v>92</v>
      </c>
      <c r="H34" s="6">
        <v>78</v>
      </c>
      <c r="I34" s="6" t="s">
        <v>61</v>
      </c>
    </row>
    <row r="35" spans="6:9" x14ac:dyDescent="0.25">
      <c r="F35" s="6">
        <v>77</v>
      </c>
      <c r="G35" s="6" t="s">
        <v>93</v>
      </c>
      <c r="H35" s="6">
        <v>79</v>
      </c>
      <c r="I35" s="6" t="s">
        <v>61</v>
      </c>
    </row>
    <row r="36" spans="6:9" x14ac:dyDescent="0.25">
      <c r="F36" s="6">
        <v>78</v>
      </c>
      <c r="G36" s="6" t="s">
        <v>94</v>
      </c>
      <c r="H36" s="6">
        <v>80</v>
      </c>
      <c r="I36" s="6" t="s">
        <v>63</v>
      </c>
    </row>
    <row r="37" spans="6:9" x14ac:dyDescent="0.25">
      <c r="F37" s="6">
        <v>79</v>
      </c>
      <c r="G37" s="6" t="s">
        <v>95</v>
      </c>
      <c r="H37" s="6">
        <v>81</v>
      </c>
      <c r="I37" s="6" t="s">
        <v>63</v>
      </c>
    </row>
    <row r="38" spans="6:9" x14ac:dyDescent="0.25">
      <c r="F38" s="6">
        <v>80</v>
      </c>
      <c r="G38" s="6" t="s">
        <v>96</v>
      </c>
      <c r="H38" s="6">
        <v>82</v>
      </c>
      <c r="I38" s="6" t="s">
        <v>63</v>
      </c>
    </row>
    <row r="39" spans="6:9" x14ac:dyDescent="0.25">
      <c r="F39" s="6">
        <v>81</v>
      </c>
      <c r="G39" s="6" t="s">
        <v>97</v>
      </c>
      <c r="H39" s="6">
        <v>83</v>
      </c>
      <c r="I39" s="6" t="s">
        <v>63</v>
      </c>
    </row>
    <row r="40" spans="6:9" x14ac:dyDescent="0.25">
      <c r="F40" s="6">
        <v>82</v>
      </c>
      <c r="G40" s="6" t="s">
        <v>98</v>
      </c>
      <c r="H40" s="6">
        <v>84</v>
      </c>
      <c r="I40" s="6" t="s">
        <v>63</v>
      </c>
    </row>
    <row r="41" spans="6:9" x14ac:dyDescent="0.25">
      <c r="F41" s="6">
        <v>83</v>
      </c>
      <c r="G41" s="6" t="s">
        <v>99</v>
      </c>
      <c r="H41" s="6">
        <v>85</v>
      </c>
      <c r="I41" s="6" t="s">
        <v>63</v>
      </c>
    </row>
    <row r="42" spans="6:9" x14ac:dyDescent="0.25">
      <c r="F42" s="6">
        <v>84</v>
      </c>
      <c r="G42" s="6" t="s">
        <v>100</v>
      </c>
      <c r="H42" s="6">
        <v>86</v>
      </c>
      <c r="I42" s="6" t="s">
        <v>63</v>
      </c>
    </row>
    <row r="43" spans="6:9" x14ac:dyDescent="0.25">
      <c r="F43" s="6">
        <v>85</v>
      </c>
      <c r="G43" s="6" t="s">
        <v>101</v>
      </c>
      <c r="H43" s="6">
        <v>87</v>
      </c>
      <c r="I43" s="6" t="s">
        <v>63</v>
      </c>
    </row>
    <row r="44" spans="6:9" x14ac:dyDescent="0.25">
      <c r="F44" s="6">
        <v>86</v>
      </c>
      <c r="G44" s="6" t="s">
        <v>102</v>
      </c>
      <c r="H44" s="6">
        <v>88</v>
      </c>
      <c r="I44" s="6" t="s">
        <v>63</v>
      </c>
    </row>
    <row r="45" spans="6:9" x14ac:dyDescent="0.25">
      <c r="F45" s="6">
        <v>87</v>
      </c>
      <c r="G45" s="6" t="s">
        <v>103</v>
      </c>
      <c r="H45" s="6">
        <v>89</v>
      </c>
      <c r="I45" s="6" t="s">
        <v>63</v>
      </c>
    </row>
    <row r="46" spans="6:9" x14ac:dyDescent="0.25">
      <c r="F46" s="6">
        <v>88</v>
      </c>
      <c r="G46" s="6" t="s">
        <v>104</v>
      </c>
      <c r="H46" s="6">
        <v>90</v>
      </c>
      <c r="I46" s="6" t="s">
        <v>65</v>
      </c>
    </row>
    <row r="47" spans="6:9" x14ac:dyDescent="0.25">
      <c r="F47" s="6">
        <v>89</v>
      </c>
      <c r="G47" s="6" t="s">
        <v>105</v>
      </c>
      <c r="H47" s="6">
        <v>91</v>
      </c>
      <c r="I47" s="6" t="s">
        <v>65</v>
      </c>
    </row>
    <row r="48" spans="6:9" x14ac:dyDescent="0.25">
      <c r="F48" s="6">
        <v>90</v>
      </c>
      <c r="G48" s="6" t="s">
        <v>106</v>
      </c>
      <c r="H48" s="6">
        <v>92</v>
      </c>
      <c r="I48" s="6" t="s">
        <v>65</v>
      </c>
    </row>
    <row r="49" spans="6:9" x14ac:dyDescent="0.25">
      <c r="F49" s="6">
        <v>91</v>
      </c>
      <c r="G49" s="6" t="s">
        <v>107</v>
      </c>
      <c r="H49" s="6">
        <v>93</v>
      </c>
      <c r="I49" s="6" t="s">
        <v>65</v>
      </c>
    </row>
    <row r="50" spans="6:9" x14ac:dyDescent="0.25">
      <c r="F50" s="6">
        <v>92</v>
      </c>
      <c r="G50" s="6" t="s">
        <v>108</v>
      </c>
      <c r="H50" s="6">
        <v>94</v>
      </c>
      <c r="I50" s="6" t="s">
        <v>65</v>
      </c>
    </row>
    <row r="51" spans="6:9" x14ac:dyDescent="0.25">
      <c r="F51" s="6">
        <v>93</v>
      </c>
      <c r="G51" s="6" t="s">
        <v>109</v>
      </c>
      <c r="H51" s="6">
        <v>95</v>
      </c>
      <c r="I51" s="6" t="s">
        <v>65</v>
      </c>
    </row>
    <row r="52" spans="6:9" x14ac:dyDescent="0.25">
      <c r="F52" s="6">
        <v>94</v>
      </c>
      <c r="G52" s="6" t="s">
        <v>110</v>
      </c>
      <c r="H52" s="6">
        <v>96</v>
      </c>
      <c r="I52" s="6" t="s">
        <v>65</v>
      </c>
    </row>
    <row r="53" spans="6:9" x14ac:dyDescent="0.25">
      <c r="F53" s="6">
        <v>95</v>
      </c>
      <c r="G53" s="6" t="s">
        <v>111</v>
      </c>
      <c r="H53" s="6">
        <v>97</v>
      </c>
      <c r="I53" s="6" t="s">
        <v>65</v>
      </c>
    </row>
    <row r="54" spans="6:9" x14ac:dyDescent="0.25">
      <c r="F54" s="6">
        <v>96</v>
      </c>
      <c r="G54" s="6" t="s">
        <v>112</v>
      </c>
      <c r="H54" s="6">
        <v>98</v>
      </c>
      <c r="I54" s="6" t="s">
        <v>65</v>
      </c>
    </row>
    <row r="55" spans="6:9" x14ac:dyDescent="0.25">
      <c r="F55" s="6">
        <v>97.5</v>
      </c>
      <c r="G55" s="6" t="s">
        <v>113</v>
      </c>
      <c r="H55" s="6">
        <v>99</v>
      </c>
      <c r="I55" s="6" t="s">
        <v>65</v>
      </c>
    </row>
    <row r="56" spans="6:9" x14ac:dyDescent="0.25">
      <c r="F56" s="6">
        <v>99.5</v>
      </c>
      <c r="G56" s="6" t="s">
        <v>114</v>
      </c>
      <c r="H56" s="6">
        <v>100</v>
      </c>
      <c r="I56" s="6" t="s">
        <v>65</v>
      </c>
    </row>
  </sheetData>
  <mergeCells count="2">
    <mergeCell ref="A1:H1"/>
    <mergeCell ref="A16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</sheetPr>
  <dimension ref="A1:H12"/>
  <sheetViews>
    <sheetView showGridLines="0" zoomScaleNormal="100" workbookViewId="0">
      <selection sqref="A1:H1"/>
    </sheetView>
  </sheetViews>
  <sheetFormatPr defaultColWidth="8.7109375" defaultRowHeight="15" customHeight="1" x14ac:dyDescent="0.25"/>
  <cols>
    <col min="1" max="1" width="24" customWidth="1"/>
    <col min="2" max="8" width="18" customWidth="1"/>
  </cols>
  <sheetData>
    <row r="1" spans="1:8" ht="27.75" customHeight="1" x14ac:dyDescent="0.25">
      <c r="A1" s="35" t="s">
        <v>115</v>
      </c>
      <c r="B1" s="35"/>
      <c r="C1" s="35"/>
      <c r="D1" s="35"/>
      <c r="E1" s="35"/>
      <c r="F1" s="35"/>
      <c r="G1" s="35"/>
      <c r="H1" s="35"/>
    </row>
    <row r="3" spans="1:8" ht="37.5" customHeight="1" x14ac:dyDescent="0.25">
      <c r="A3" s="1" t="s">
        <v>116</v>
      </c>
      <c r="B3" s="36" t="s">
        <v>117</v>
      </c>
      <c r="C3" s="36"/>
      <c r="D3" s="36"/>
      <c r="E3" s="36"/>
      <c r="F3" s="36"/>
      <c r="G3" s="36"/>
      <c r="H3" s="36"/>
    </row>
    <row r="4" spans="1:8" ht="37.5" customHeight="1" x14ac:dyDescent="0.25">
      <c r="A4" s="1" t="s">
        <v>118</v>
      </c>
      <c r="B4" s="36" t="s">
        <v>119</v>
      </c>
      <c r="C4" s="36"/>
      <c r="D4" s="36"/>
      <c r="E4" s="36"/>
      <c r="F4" s="36"/>
      <c r="G4" s="36"/>
      <c r="H4" s="36"/>
    </row>
    <row r="5" spans="1:8" ht="37.5" customHeight="1" x14ac:dyDescent="0.25">
      <c r="A5" s="1" t="s">
        <v>120</v>
      </c>
      <c r="B5" s="36" t="s">
        <v>121</v>
      </c>
      <c r="C5" s="36"/>
      <c r="D5" s="36"/>
      <c r="E5" s="36"/>
      <c r="F5" s="36"/>
      <c r="G5" s="36"/>
      <c r="H5" s="36"/>
    </row>
    <row r="6" spans="1:8" ht="37.5" customHeight="1" x14ac:dyDescent="0.25">
      <c r="A6" s="1" t="s">
        <v>122</v>
      </c>
      <c r="B6" s="36" t="s">
        <v>123</v>
      </c>
      <c r="C6" s="36"/>
      <c r="D6" s="36"/>
      <c r="E6" s="36"/>
      <c r="F6" s="36"/>
      <c r="G6" s="36"/>
      <c r="H6" s="36"/>
    </row>
    <row r="7" spans="1:8" ht="37.5" customHeight="1" x14ac:dyDescent="0.25">
      <c r="A7" s="1" t="s">
        <v>124</v>
      </c>
      <c r="B7" s="36" t="s">
        <v>125</v>
      </c>
      <c r="C7" s="36"/>
      <c r="D7" s="36"/>
      <c r="E7" s="36"/>
      <c r="F7" s="36"/>
      <c r="G7" s="36"/>
      <c r="H7" s="36"/>
    </row>
    <row r="8" spans="1:8" ht="37.5" customHeight="1" x14ac:dyDescent="0.25">
      <c r="A8" s="1" t="s">
        <v>126</v>
      </c>
      <c r="B8" s="36" t="s">
        <v>127</v>
      </c>
      <c r="C8" s="36"/>
      <c r="D8" s="36"/>
      <c r="E8" s="36"/>
      <c r="F8" s="36"/>
      <c r="G8" s="36"/>
      <c r="H8" s="36"/>
    </row>
    <row r="9" spans="1:8" ht="37.5" customHeight="1" x14ac:dyDescent="0.25">
      <c r="A9" s="1" t="s">
        <v>128</v>
      </c>
      <c r="B9" s="36" t="s">
        <v>129</v>
      </c>
      <c r="C9" s="36"/>
      <c r="D9" s="36"/>
      <c r="E9" s="36"/>
      <c r="F9" s="36"/>
      <c r="G9" s="36"/>
      <c r="H9" s="36"/>
    </row>
    <row r="10" spans="1:8" ht="37.5" customHeight="1" x14ac:dyDescent="0.25">
      <c r="A10" s="1" t="s">
        <v>130</v>
      </c>
      <c r="B10" s="36" t="s">
        <v>131</v>
      </c>
      <c r="C10" s="36"/>
      <c r="D10" s="36"/>
      <c r="E10" s="36"/>
      <c r="F10" s="36"/>
      <c r="G10" s="36"/>
      <c r="H10" s="36"/>
    </row>
    <row r="11" spans="1:8" ht="37.5" customHeight="1" x14ac:dyDescent="0.25">
      <c r="A11" s="1" t="s">
        <v>132</v>
      </c>
      <c r="B11" s="36" t="s">
        <v>133</v>
      </c>
      <c r="C11" s="36"/>
      <c r="D11" s="36"/>
      <c r="E11" s="36"/>
      <c r="F11" s="36"/>
      <c r="G11" s="36"/>
      <c r="H11" s="36"/>
    </row>
    <row r="12" spans="1:8" ht="37.5" customHeight="1" x14ac:dyDescent="0.25">
      <c r="A12" s="1" t="s">
        <v>134</v>
      </c>
      <c r="B12" s="36" t="s">
        <v>135</v>
      </c>
      <c r="C12" s="36"/>
      <c r="D12" s="36"/>
      <c r="E12" s="36"/>
      <c r="F12" s="36"/>
      <c r="G12" s="36"/>
      <c r="H12" s="36"/>
    </row>
  </sheetData>
  <mergeCells count="11">
    <mergeCell ref="A1:H1"/>
    <mergeCell ref="B3:H3"/>
    <mergeCell ref="B4:H4"/>
    <mergeCell ref="B5:H5"/>
    <mergeCell ref="B6:H6"/>
    <mergeCell ref="B12:H12"/>
    <mergeCell ref="B7:H7"/>
    <mergeCell ref="B8:H8"/>
    <mergeCell ref="B9:H9"/>
    <mergeCell ref="B10:H10"/>
    <mergeCell ref="B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INPUT</vt:lpstr>
      <vt:lpstr>TERM1</vt:lpstr>
      <vt:lpstr>TERM2</vt:lpstr>
      <vt:lpstr>TERM3</vt:lpstr>
      <vt:lpstr>SUMMARY</vt:lpstr>
      <vt:lpstr>SETTINGS</vt:lpstr>
      <vt:lpstr>GUIDE</vt:lpstr>
      <vt:lpstr>TERM1!Print_Titles</vt:lpstr>
      <vt:lpstr>TERM2!Print_Titles</vt:lpstr>
      <vt:lpstr>TERM3!Print_Titles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Edmon Jay Huerte</cp:lastModifiedBy>
  <dcterms:modified xsi:type="dcterms:W3CDTF">2026-09-08T19:22:49Z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2026-08-23T10:42:05Z</dcterms:created>
  <dc:creator>openpyxl</dc:creator>
  <dc:description/>
  <dc:language>en-US</dc:language>
  <cp:lastModifiedBy/>
  <dcterms:modified xsi:type="dcterms:W3CDTF">2026-08-23T10:42:06Z</dcterms:modified>
  <cp:revision>0</cp:revision>
  <dc:subject/>
  <dc:title/>
</cp:coreProperties>
</file>